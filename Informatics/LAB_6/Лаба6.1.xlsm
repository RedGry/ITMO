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ЭтаКнига"/>
  <mc:AlternateContent xmlns:mc="http://schemas.openxmlformats.org/markup-compatibility/2006">
    <mc:Choice Requires="x15">
      <x15ac:absPath xmlns:x15ac="http://schemas.microsoft.com/office/spreadsheetml/2010/11/ac" url="H:\1\ITMO\Информатика\"/>
    </mc:Choice>
  </mc:AlternateContent>
  <xr:revisionPtr revIDLastSave="0" documentId="13_ncr:1_{27D29AE8-C7F3-4094-9BF6-73812146F42F}" xr6:coauthVersionLast="45" xr6:coauthVersionMax="45" xr10:uidLastSave="{00000000-0000-0000-0000-000000000000}"/>
  <bookViews>
    <workbookView xWindow="-120" yWindow="-120" windowWidth="19440" windowHeight="15000" firstSheet="2" activeTab="4" xr2:uid="{00000000-000D-0000-FFFF-FFFF00000000}"/>
  </bookViews>
  <sheets>
    <sheet name="Формула А3" sheetId="1" r:id="rId1"/>
    <sheet name="Отчёт-колонтитул B1" sheetId="2" r:id="rId2"/>
    <sheet name="Фильтр D1" sheetId="3" r:id="rId3"/>
    <sheet name="Год Турнира E(1999)" sheetId="4" r:id="rId4"/>
    <sheet name="Школьный дневник G1(Неделя 1)" sheetId="5" r:id="rId5"/>
  </sheets>
  <definedNames>
    <definedName name="_xlnm._FilterDatabase" localSheetId="2" hidden="1">'Фильтр D1'!$A$1:$H$92</definedName>
    <definedName name="_xlnm.Criteria" localSheetId="2">'Фильтр D1'!$D$11:$D$12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5" l="1"/>
  <c r="A17" i="5" s="1"/>
  <c r="I3" i="5" s="1"/>
  <c r="A3" i="5"/>
  <c r="F1" i="5" s="1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I5" i="4"/>
  <c r="J4" i="4"/>
  <c r="I4" i="4"/>
  <c r="J3" i="4"/>
  <c r="I3" i="4"/>
  <c r="J2" i="4"/>
  <c r="I2" i="4"/>
  <c r="J19" i="2"/>
  <c r="I19" i="2"/>
  <c r="H19" i="2"/>
  <c r="G19" i="2"/>
  <c r="F19" i="2"/>
  <c r="E19" i="2"/>
  <c r="D19" i="2"/>
  <c r="C19" i="2"/>
  <c r="J18" i="2"/>
  <c r="J17" i="2"/>
  <c r="J16" i="2"/>
  <c r="J15" i="2"/>
  <c r="J14" i="2"/>
  <c r="J13" i="2"/>
  <c r="J12" i="2"/>
  <c r="J11" i="2"/>
  <c r="J10" i="2"/>
  <c r="J9" i="2"/>
  <c r="J8" i="2"/>
  <c r="J7" i="2"/>
  <c r="A11" i="1"/>
  <c r="B11" i="1" s="1"/>
  <c r="G4" i="1"/>
  <c r="F4" i="1"/>
  <c r="I10" i="5" l="1"/>
  <c r="I17" i="5" s="1"/>
  <c r="N1" i="5"/>
  <c r="C11" i="1"/>
  <c r="A12" i="1"/>
  <c r="B12" i="1" l="1"/>
  <c r="A13" i="1"/>
  <c r="C12" i="1"/>
  <c r="B13" i="1" l="1"/>
  <c r="A14" i="1"/>
  <c r="C13" i="1"/>
  <c r="A15" i="1" l="1"/>
  <c r="B14" i="1"/>
  <c r="C14" i="1"/>
  <c r="B15" i="1" l="1"/>
  <c r="A16" i="1"/>
  <c r="C15" i="1"/>
  <c r="B16" i="1" l="1"/>
  <c r="A17" i="1"/>
  <c r="C16" i="1"/>
  <c r="B17" i="1" l="1"/>
  <c r="A18" i="1"/>
  <c r="C17" i="1"/>
  <c r="A19" i="1" l="1"/>
  <c r="B18" i="1"/>
  <c r="C18" i="1"/>
  <c r="B19" i="1" l="1"/>
  <c r="A20" i="1"/>
  <c r="C19" i="1"/>
  <c r="A21" i="1" l="1"/>
  <c r="B20" i="1"/>
  <c r="C20" i="1"/>
  <c r="B21" i="1" l="1"/>
  <c r="A22" i="1"/>
  <c r="C21" i="1"/>
  <c r="B22" i="1" l="1"/>
  <c r="A23" i="1"/>
  <c r="C22" i="1"/>
  <c r="B23" i="1" l="1"/>
  <c r="A24" i="1"/>
  <c r="C23" i="1"/>
  <c r="A25" i="1" l="1"/>
  <c r="B24" i="1"/>
  <c r="C24" i="1"/>
  <c r="B25" i="1" l="1"/>
  <c r="A26" i="1"/>
  <c r="C25" i="1"/>
  <c r="A27" i="1" l="1"/>
  <c r="B26" i="1"/>
  <c r="C26" i="1"/>
  <c r="B27" i="1" l="1"/>
  <c r="C27" i="1"/>
  <c r="C29" i="1" l="1"/>
  <c r="C28" i="1"/>
  <c r="C30" i="1"/>
  <c r="B28" i="1"/>
  <c r="B30" i="1"/>
  <c r="B29" i="1"/>
</calcChain>
</file>

<file path=xl/sharedStrings.xml><?xml version="1.0" encoding="utf-8"?>
<sst xmlns="http://schemas.openxmlformats.org/spreadsheetml/2006/main" count="532" uniqueCount="332">
  <si>
    <t>Минимальное значение аргумента:</t>
  </si>
  <si>
    <t>Константы</t>
  </si>
  <si>
    <t>Максимальное значение аргумента:</t>
  </si>
  <si>
    <t>A1</t>
  </si>
  <si>
    <t>A2</t>
  </si>
  <si>
    <t>Шаг изменения резульата:</t>
  </si>
  <si>
    <t>Искомое значение:</t>
  </si>
  <si>
    <t>Расчет выражения на заданном интервале</t>
  </si>
  <si>
    <t>Аргумент Х</t>
  </si>
  <si>
    <t>Значение выражения</t>
  </si>
  <si>
    <t>При А = 1</t>
  </si>
  <si>
    <t>При А = 10</t>
  </si>
  <si>
    <t>Максимальное значение выражения</t>
  </si>
  <si>
    <t>Минимальное значение выражения</t>
  </si>
  <si>
    <t>Количество искомых значений</t>
  </si>
  <si>
    <t>Еженедельный т  оварный от  чет</t>
  </si>
  <si>
    <t xml:space="preserve"> № п/п</t>
  </si>
  <si>
    <t>Наименование секции</t>
  </si>
  <si>
    <t>Варучка, руб.</t>
  </si>
  <si>
    <t>Итого за неделю</t>
  </si>
  <si>
    <t>Зав. секцией</t>
  </si>
  <si>
    <t>Подпись</t>
  </si>
  <si>
    <t>понедельник</t>
  </si>
  <si>
    <t>вт  орник</t>
  </si>
  <si>
    <t>среда</t>
  </si>
  <si>
    <t>чет  верг</t>
  </si>
  <si>
    <t>пят  ница</t>
  </si>
  <si>
    <t>суббот  а</t>
  </si>
  <si>
    <t>воскресенье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</si>
  <si>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</si>
  <si>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</si>
  <si>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</si>
  <si>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</si>
  <si>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</si>
  <si>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</si>
  <si>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</si>
  <si>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</si>
  <si>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</si>
  <si>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</si>
  <si>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</si>
  <si>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</si>
  <si>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Игрушки</t>
  </si>
  <si>
    <t>Шмидт В.О.</t>
  </si>
  <si>
    <t>Парфюмерия</t>
  </si>
  <si>
    <t>Семко О.Д.</t>
  </si>
  <si>
    <t>Галантерея</t>
  </si>
  <si>
    <t>Иванов В.Ф.</t>
  </si>
  <si>
    <t>Канцтовары</t>
  </si>
  <si>
    <t>Смекайло А.Л.</t>
  </si>
  <si>
    <t>Хозтовары</t>
  </si>
  <si>
    <t>Рябова П.Г.</t>
  </si>
  <si>
    <t>Женская обувь</t>
  </si>
  <si>
    <t>Смирнов И.И.</t>
  </si>
  <si>
    <t>Мужская обувь</t>
  </si>
  <si>
    <t>Петров И.Т.</t>
  </si>
  <si>
    <t>Детские товары</t>
  </si>
  <si>
    <t>Романов П.П.</t>
  </si>
  <si>
    <t>Бытовая техника</t>
  </si>
  <si>
    <t>Орлова В.Г.</t>
  </si>
  <si>
    <t>Ткани</t>
  </si>
  <si>
    <t>Лиманова Н.Н.</t>
  </si>
  <si>
    <t>Одежда</t>
  </si>
  <si>
    <t>Папанов Р.Л.</t>
  </si>
  <si>
    <t>Букинист</t>
  </si>
  <si>
    <t>Мирошко Л.Г.</t>
  </si>
  <si>
    <t>Всего:</t>
  </si>
  <si>
    <t xml:space="preserve">
                                               Гл. бухгалтер: ___________________________ Маликова В.П.
                                  Директор Магазина: ___________________________ Петрова Р.Т.</t>
  </si>
  <si>
    <t>Название</t>
  </si>
  <si>
    <t>Сокращённое название</t>
  </si>
  <si>
    <t>Период</t>
  </si>
  <si>
    <t>Порядковый номер</t>
  </si>
  <si>
    <t>Группа</t>
  </si>
  <si>
    <t>Семейство химических элементов</t>
  </si>
  <si>
    <t>Атомная масса</t>
  </si>
  <si>
    <t>Электронная конфигурация</t>
  </si>
  <si>
    <t>(H)</t>
  </si>
  <si>
    <t>Водород</t>
  </si>
  <si>
    <t>H</t>
  </si>
  <si>
    <t>Неметалл</t>
  </si>
  <si>
    <t>Гелий</t>
  </si>
  <si>
    <t>He</t>
  </si>
  <si>
    <t>Инертный газ</t>
  </si>
  <si>
    <t>Литий</t>
  </si>
  <si>
    <t>Li</t>
  </si>
  <si>
    <t>Щелочной металл</t>
  </si>
  <si>
    <t>Бериллий</t>
  </si>
  <si>
    <t>Be</t>
  </si>
  <si>
    <t>Щелочноземельный металл</t>
  </si>
  <si>
    <t>Бор</t>
  </si>
  <si>
    <t>B</t>
  </si>
  <si>
    <t>Полуметалл</t>
  </si>
  <si>
    <t>Углерод</t>
  </si>
  <si>
    <t>C</t>
  </si>
  <si>
    <t>Азот</t>
  </si>
  <si>
    <t>N</t>
  </si>
  <si>
    <t>Кислород</t>
  </si>
  <si>
    <t>O</t>
  </si>
  <si>
    <t>Фтор</t>
  </si>
  <si>
    <t>F</t>
  </si>
  <si>
    <t>Галоген</t>
  </si>
  <si>
    <t>Неон</t>
  </si>
  <si>
    <t>Ne</t>
  </si>
  <si>
    <t>Натрий</t>
  </si>
  <si>
    <t>Na</t>
  </si>
  <si>
    <t>Магний</t>
  </si>
  <si>
    <t>Mg</t>
  </si>
  <si>
    <t>Алюминий</t>
  </si>
  <si>
    <t>Al</t>
  </si>
  <si>
    <t>Постпереходный металл</t>
  </si>
  <si>
    <t>Кремний</t>
  </si>
  <si>
    <t>Si</t>
  </si>
  <si>
    <t>Фосфор</t>
  </si>
  <si>
    <t>P</t>
  </si>
  <si>
    <t>Сера</t>
  </si>
  <si>
    <t>Хлор</t>
  </si>
  <si>
    <t>Cl</t>
  </si>
  <si>
    <t>Аргон</t>
  </si>
  <si>
    <t>Ar</t>
  </si>
  <si>
    <t>Калий</t>
  </si>
  <si>
    <t>K</t>
  </si>
  <si>
    <t>Кальций</t>
  </si>
  <si>
    <t>Ca</t>
  </si>
  <si>
    <t>Скандий</t>
  </si>
  <si>
    <t>Sc</t>
  </si>
  <si>
    <t>Переходный металл</t>
  </si>
  <si>
    <t>Титан</t>
  </si>
  <si>
    <t>Ti</t>
  </si>
  <si>
    <t>Ванадий</t>
  </si>
  <si>
    <t>Хром</t>
  </si>
  <si>
    <t>Cr</t>
  </si>
  <si>
    <t>Марганец</t>
  </si>
  <si>
    <t>Mn</t>
  </si>
  <si>
    <t>Железо</t>
  </si>
  <si>
    <t>Fe</t>
  </si>
  <si>
    <t>Кобальт</t>
  </si>
  <si>
    <t>Co</t>
  </si>
  <si>
    <t>Никель</t>
  </si>
  <si>
    <t>Ni</t>
  </si>
  <si>
    <t>Медь</t>
  </si>
  <si>
    <t>Cu</t>
  </si>
  <si>
    <t>Цинк</t>
  </si>
  <si>
    <t>Zn</t>
  </si>
  <si>
    <t>Галлий</t>
  </si>
  <si>
    <t>Ga</t>
  </si>
  <si>
    <t>Германий</t>
  </si>
  <si>
    <t>Ge</t>
  </si>
  <si>
    <t>Мышьяк</t>
  </si>
  <si>
    <t>As</t>
  </si>
  <si>
    <t>Селен</t>
  </si>
  <si>
    <t>Se</t>
  </si>
  <si>
    <t>Бром</t>
  </si>
  <si>
    <t>Br</t>
  </si>
  <si>
    <t>Криптон</t>
  </si>
  <si>
    <t>Kr</t>
  </si>
  <si>
    <t>Рубидий</t>
  </si>
  <si>
    <t>Rb</t>
  </si>
  <si>
    <t>Стронций</t>
  </si>
  <si>
    <t>Sr</t>
  </si>
  <si>
    <t>Иттрий</t>
  </si>
  <si>
    <t>Y</t>
  </si>
  <si>
    <t>Цирконий</t>
  </si>
  <si>
    <t>Zr</t>
  </si>
  <si>
    <t>Ниобий</t>
  </si>
  <si>
    <t>Nb</t>
  </si>
  <si>
    <t>Молибден</t>
  </si>
  <si>
    <t>Mo</t>
  </si>
  <si>
    <t>Технеций</t>
  </si>
  <si>
    <t>Tc</t>
  </si>
  <si>
    <t>Рутений</t>
  </si>
  <si>
    <t>Ru</t>
  </si>
  <si>
    <t>Родий</t>
  </si>
  <si>
    <t>Rh</t>
  </si>
  <si>
    <t>Палладий</t>
  </si>
  <si>
    <t>Pd</t>
  </si>
  <si>
    <t>Сербро</t>
  </si>
  <si>
    <t>Ag</t>
  </si>
  <si>
    <t>Кадмий</t>
  </si>
  <si>
    <t>Cd</t>
  </si>
  <si>
    <t>Индий</t>
  </si>
  <si>
    <t>In</t>
  </si>
  <si>
    <t>Олово</t>
  </si>
  <si>
    <t>Sn</t>
  </si>
  <si>
    <t>Сурьма</t>
  </si>
  <si>
    <t>Sb</t>
  </si>
  <si>
    <t>Теллур</t>
  </si>
  <si>
    <t>Te</t>
  </si>
  <si>
    <t>Йод</t>
  </si>
  <si>
    <t>Ксенон</t>
  </si>
  <si>
    <t>Xe</t>
  </si>
  <si>
    <t>Цезий</t>
  </si>
  <si>
    <t>Cs</t>
  </si>
  <si>
    <t>Барий</t>
  </si>
  <si>
    <t>Ba</t>
  </si>
  <si>
    <t>Лантан</t>
  </si>
  <si>
    <t>La</t>
  </si>
  <si>
    <t>Лантаноид</t>
  </si>
  <si>
    <t>Гафний</t>
  </si>
  <si>
    <t>Hf</t>
  </si>
  <si>
    <t>Тантал</t>
  </si>
  <si>
    <t>Ta</t>
  </si>
  <si>
    <t>Вольфрам</t>
  </si>
  <si>
    <t>W</t>
  </si>
  <si>
    <t>Рений</t>
  </si>
  <si>
    <t>Re</t>
  </si>
  <si>
    <t>Осмий</t>
  </si>
  <si>
    <t>Os</t>
  </si>
  <si>
    <t>Иридий</t>
  </si>
  <si>
    <t>Ir</t>
  </si>
  <si>
    <t>Плитина</t>
  </si>
  <si>
    <t>Pt</t>
  </si>
  <si>
    <t>Золото</t>
  </si>
  <si>
    <t>Au</t>
  </si>
  <si>
    <t>Ртуть</t>
  </si>
  <si>
    <t>Hg</t>
  </si>
  <si>
    <t>Таллий</t>
  </si>
  <si>
    <t>Tl</t>
  </si>
  <si>
    <t>Свинец</t>
  </si>
  <si>
    <t>Pb</t>
  </si>
  <si>
    <t>Висмут</t>
  </si>
  <si>
    <t>Bi</t>
  </si>
  <si>
    <t>Полоний</t>
  </si>
  <si>
    <t>Po</t>
  </si>
  <si>
    <t>[210]*</t>
  </si>
  <si>
    <t>Астат</t>
  </si>
  <si>
    <t>At</t>
  </si>
  <si>
    <t>[210]</t>
  </si>
  <si>
    <t>Радон</t>
  </si>
  <si>
    <t>Rn</t>
  </si>
  <si>
    <t>[222]</t>
  </si>
  <si>
    <t>Франций</t>
  </si>
  <si>
    <t>Fr</t>
  </si>
  <si>
    <t>[223]</t>
  </si>
  <si>
    <t>Радий</t>
  </si>
  <si>
    <t>Ra</t>
  </si>
  <si>
    <t>[226]</t>
  </si>
  <si>
    <t>Актиний</t>
  </si>
  <si>
    <t>Ac</t>
  </si>
  <si>
    <t>Актиноид</t>
  </si>
  <si>
    <t>[227]</t>
  </si>
  <si>
    <t>Резерфордий</t>
  </si>
  <si>
    <t>Rf</t>
  </si>
  <si>
    <t>[261]</t>
  </si>
  <si>
    <t>Дубний</t>
  </si>
  <si>
    <t>Db</t>
  </si>
  <si>
    <t>[262]</t>
  </si>
  <si>
    <t>Сиборгий</t>
  </si>
  <si>
    <t>Sg</t>
  </si>
  <si>
    <t>[263]</t>
  </si>
  <si>
    <t>Борий</t>
  </si>
  <si>
    <t>Bh</t>
  </si>
  <si>
    <t>Хассий</t>
  </si>
  <si>
    <t>Hs</t>
  </si>
  <si>
    <t>[265]</t>
  </si>
  <si>
    <t>Майтнерий</t>
  </si>
  <si>
    <t>Mt</t>
  </si>
  <si>
    <t>[266]</t>
  </si>
  <si>
    <t>Дармштадтий</t>
  </si>
  <si>
    <t>Ds</t>
  </si>
  <si>
    <t>[271]</t>
  </si>
  <si>
    <t>Ренгений</t>
  </si>
  <si>
    <t>Rg</t>
  </si>
  <si>
    <t>[272]</t>
  </si>
  <si>
    <t>Коперниций</t>
  </si>
  <si>
    <t>Cn</t>
  </si>
  <si>
    <t>[285]</t>
  </si>
  <si>
    <t>Нихоний</t>
  </si>
  <si>
    <t>Nh</t>
  </si>
  <si>
    <t>[286]</t>
  </si>
  <si>
    <t>Флеровий</t>
  </si>
  <si>
    <t>Fl</t>
  </si>
  <si>
    <t>Московий</t>
  </si>
  <si>
    <t>Mc</t>
  </si>
  <si>
    <t>Ливерморий</t>
  </si>
  <si>
    <t>Lv</t>
  </si>
  <si>
    <t>Теннессин</t>
  </si>
  <si>
    <t>Ts</t>
  </si>
  <si>
    <t>Оганесон</t>
  </si>
  <si>
    <t>Og</t>
  </si>
  <si>
    <t>[294]</t>
  </si>
  <si>
    <t>Место</t>
  </si>
  <si>
    <t>Клуб</t>
  </si>
  <si>
    <t>Игр</t>
  </si>
  <si>
    <t>Выйгрыш</t>
  </si>
  <si>
    <t>Ничья</t>
  </si>
  <si>
    <t>Поражение</t>
  </si>
  <si>
    <t>Забитые мячи</t>
  </si>
  <si>
    <t>Пропущенные мячи</t>
  </si>
  <si>
    <t>Разница</t>
  </si>
  <si>
    <t>Очки</t>
  </si>
  <si>
    <t>Спартак</t>
  </si>
  <si>
    <t>Локомотив М</t>
  </si>
  <si>
    <t>ЦСКА</t>
  </si>
  <si>
    <t>Торпедо</t>
  </si>
  <si>
    <t>Динамо</t>
  </si>
  <si>
    <t>Алания</t>
  </si>
  <si>
    <t>Ростсельмаш</t>
  </si>
  <si>
    <t>Зенит</t>
  </si>
  <si>
    <t>Уралан</t>
  </si>
  <si>
    <t>Сатурн</t>
  </si>
  <si>
    <t>Локомотив НН</t>
  </si>
  <si>
    <t>Крылья Советов</t>
  </si>
  <si>
    <t>Ротор</t>
  </si>
  <si>
    <t>Черноморец</t>
  </si>
  <si>
    <t>Жемчужина</t>
  </si>
  <si>
    <t>Шинник</t>
  </si>
  <si>
    <t>Номер триместра</t>
  </si>
  <si>
    <t>Дата</t>
  </si>
  <si>
    <t>День
недели</t>
  </si>
  <si>
    <t>№ урока</t>
  </si>
  <si>
    <t>Предмет</t>
  </si>
  <si>
    <t>Домашнее задание</t>
  </si>
  <si>
    <t>Оценка</t>
  </si>
  <si>
    <t>Понедельник</t>
  </si>
  <si>
    <t>Информатика</t>
  </si>
  <si>
    <t>Четверг</t>
  </si>
  <si>
    <t>Русский язык</t>
  </si>
  <si>
    <t>Литература</t>
  </si>
  <si>
    <t>История</t>
  </si>
  <si>
    <t>География</t>
  </si>
  <si>
    <t>Алгебра</t>
  </si>
  <si>
    <t>Физика</t>
  </si>
  <si>
    <t>Черчение</t>
  </si>
  <si>
    <t>Биология</t>
  </si>
  <si>
    <t>Английский язык</t>
  </si>
  <si>
    <t>Вторник</t>
  </si>
  <si>
    <t>Физкультура</t>
  </si>
  <si>
    <t>Пятница</t>
  </si>
  <si>
    <t>Геометрия</t>
  </si>
  <si>
    <t>Химия</t>
  </si>
  <si>
    <t>Среда</t>
  </si>
  <si>
    <t>Суббота</t>
  </si>
  <si>
    <t>Обществознание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</si>
</sst>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d\ mmm;@"/>
    <numFmt numFmtId="166" formatCode="[$-409]dddd;@"/>
  </numFmts>
  <fonts count="13">
    <font>
      <sz val="11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i/>
      <sz val="14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4"/>
      <color theme="3"/>
      <name val="Calibri"/>
      <charset val="134"/>
      <scheme val="minor"/>
    </font>
    <font>
      <sz val="11"/>
      <color theme="1"/>
      <name val="Calibri"/>
      <charset val="204"/>
      <scheme val="minor"/>
    </font>
    <font>
      <b/>
      <sz val="15"/>
      <color theme="3"/>
      <name val="Calibri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899960325937681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9A3B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gray125"/>
    </fill>
    <fill>
      <patternFill patternType="gray125">
        <bgColor theme="7" tint="0.79995117038483843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>
      <alignment vertical="center"/>
    </xf>
    <xf numFmtId="0" fontId="12" fillId="0" borderId="65" applyNumberFormat="0" applyFill="0" applyAlignment="0" applyProtection="0">
      <alignment vertical="center"/>
    </xf>
  </cellStyleXfs>
  <cellXfs count="135">
    <xf numFmtId="0" fontId="0" fillId="0" borderId="0" xfId="0">
      <alignment vertical="center"/>
    </xf>
    <xf numFmtId="166" fontId="0" fillId="0" borderId="0" xfId="0" applyNumberFormat="1" applyFont="1" applyFill="1" applyAlignment="1"/>
    <xf numFmtId="0" fontId="0" fillId="0" borderId="0" xfId="0" applyFont="1" applyFill="1" applyAlignment="1"/>
    <xf numFmtId="0" fontId="1" fillId="2" borderId="0" xfId="0" applyFont="1" applyFill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1" xfId="0" applyFont="1" applyFill="1" applyBorder="1" applyAlignment="1"/>
    <xf numFmtId="166" fontId="2" fillId="0" borderId="0" xfId="0" applyNumberFormat="1" applyFont="1" applyFill="1" applyAlignment="1"/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0" fillId="0" borderId="4" xfId="0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4" fillId="2" borderId="9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11" xfId="0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3" fillId="3" borderId="15" xfId="0" applyFont="1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Alignment="1">
      <alignment horizontal="right" vertical="center"/>
    </xf>
    <xf numFmtId="0" fontId="4" fillId="4" borderId="19" xfId="0" applyFont="1" applyFill="1" applyBorder="1" applyAlignment="1">
      <alignment horizontal="center" vertical="center" wrapText="1"/>
    </xf>
    <xf numFmtId="0" fontId="0" fillId="0" borderId="20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right" vertical="center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right" vertical="center" wrapText="1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right" vertical="center" wrapText="1"/>
    </xf>
    <xf numFmtId="0" fontId="0" fillId="8" borderId="1" xfId="0" applyFill="1" applyBorder="1" applyAlignment="1">
      <alignment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right" vertical="center" wrapText="1"/>
    </xf>
    <xf numFmtId="0" fontId="7" fillId="0" borderId="25" xfId="0" applyFont="1" applyBorder="1" applyAlignment="1">
      <alignment horizontal="center" vertical="center" textRotation="90" wrapText="1"/>
    </xf>
    <xf numFmtId="0" fontId="7" fillId="0" borderId="26" xfId="0" applyFont="1" applyBorder="1" applyAlignment="1">
      <alignment horizontal="center" vertical="center" textRotation="90" wrapText="1"/>
    </xf>
    <xf numFmtId="0" fontId="0" fillId="0" borderId="14" xfId="0" applyNumberFormat="1" applyBorder="1" applyAlignment="1">
      <alignment horizontal="center" vertical="center" wrapText="1"/>
    </xf>
    <xf numFmtId="0" fontId="0" fillId="0" borderId="27" xfId="0" applyNumberFormat="1" applyBorder="1" applyAlignment="1">
      <alignment horizontal="center" vertical="center" wrapText="1"/>
    </xf>
    <xf numFmtId="0" fontId="0" fillId="0" borderId="28" xfId="0" applyNumberFormat="1" applyBorder="1" applyAlignment="1">
      <alignment horizontal="center" vertical="center" wrapText="1"/>
    </xf>
    <xf numFmtId="0" fontId="0" fillId="0" borderId="29" xfId="0" applyNumberForma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2" fontId="8" fillId="0" borderId="30" xfId="0" applyNumberFormat="1" applyFont="1" applyBorder="1" applyAlignment="1">
      <alignment vertical="center" wrapText="1"/>
    </xf>
    <xf numFmtId="2" fontId="8" fillId="0" borderId="3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2" fontId="8" fillId="0" borderId="25" xfId="0" applyNumberFormat="1" applyFont="1" applyBorder="1" applyAlignment="1">
      <alignment vertical="center" wrapText="1"/>
    </xf>
    <xf numFmtId="2" fontId="8" fillId="0" borderId="26" xfId="0" applyNumberFormat="1" applyFont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2" fontId="8" fillId="0" borderId="28" xfId="0" applyNumberFormat="1" applyFont="1" applyBorder="1" applyAlignment="1">
      <alignment vertical="center" wrapText="1"/>
    </xf>
    <xf numFmtId="2" fontId="8" fillId="0" borderId="29" xfId="0" applyNumberFormat="1" applyFont="1" applyBorder="1" applyAlignment="1">
      <alignment vertical="center" wrapText="1"/>
    </xf>
    <xf numFmtId="2" fontId="7" fillId="9" borderId="35" xfId="0" applyNumberFormat="1" applyFont="1" applyFill="1" applyBorder="1" applyAlignment="1">
      <alignment horizontal="center" vertical="center" wrapText="1"/>
    </xf>
    <xf numFmtId="2" fontId="7" fillId="9" borderId="3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40" xfId="0" applyFont="1" applyBorder="1" applyAlignment="1">
      <alignment horizontal="center" vertical="center" textRotation="90" wrapText="1"/>
    </xf>
    <xf numFmtId="0" fontId="0" fillId="0" borderId="42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13" xfId="0" applyNumberFormat="1" applyBorder="1" applyAlignment="1">
      <alignment horizontal="center" vertical="center" wrapText="1"/>
    </xf>
    <xf numFmtId="0" fontId="0" fillId="0" borderId="18" xfId="0" applyNumberFormat="1" applyBorder="1" applyAlignment="1">
      <alignment horizontal="center" vertical="center" wrapText="1"/>
    </xf>
    <xf numFmtId="2" fontId="8" fillId="0" borderId="44" xfId="0" applyNumberFormat="1" applyFont="1" applyBorder="1" applyAlignment="1">
      <alignment vertical="center" wrapText="1"/>
    </xf>
    <xf numFmtId="2" fontId="7" fillId="9" borderId="41" xfId="0" applyNumberFormat="1" applyFont="1" applyFill="1" applyBorder="1" applyAlignment="1">
      <alignment horizontal="right" vertical="center" wrapText="1" indent="1"/>
    </xf>
    <xf numFmtId="0" fontId="0" fillId="0" borderId="6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2" fontId="8" fillId="0" borderId="40" xfId="0" applyNumberFormat="1" applyFont="1" applyBorder="1" applyAlignment="1">
      <alignment vertical="center" wrapText="1"/>
    </xf>
    <xf numFmtId="2" fontId="7" fillId="9" borderId="45" xfId="0" applyNumberFormat="1" applyFont="1" applyFill="1" applyBorder="1" applyAlignment="1">
      <alignment horizontal="right" vertical="center" wrapText="1" indent="1"/>
    </xf>
    <xf numFmtId="0" fontId="0" fillId="0" borderId="10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2" fontId="8" fillId="0" borderId="42" xfId="0" applyNumberFormat="1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2" fontId="7" fillId="9" borderId="33" xfId="0" applyNumberFormat="1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0" fontId="0" fillId="0" borderId="49" xfId="0" applyBorder="1">
      <alignment vertical="center"/>
    </xf>
    <xf numFmtId="0" fontId="0" fillId="0" borderId="51" xfId="0" applyBorder="1">
      <alignment vertical="center"/>
    </xf>
    <xf numFmtId="0" fontId="0" fillId="0" borderId="52" xfId="0" applyFont="1" applyFill="1" applyBorder="1" applyAlignment="1"/>
    <xf numFmtId="0" fontId="0" fillId="0" borderId="53" xfId="0" applyFont="1" applyFill="1" applyBorder="1" applyAlignment="1"/>
    <xf numFmtId="0" fontId="0" fillId="0" borderId="53" xfId="0" applyBorder="1">
      <alignment vertical="center"/>
    </xf>
    <xf numFmtId="0" fontId="4" fillId="0" borderId="3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0" fillId="0" borderId="58" xfId="0" applyFont="1" applyFill="1" applyBorder="1" applyAlignment="1"/>
    <xf numFmtId="0" fontId="11" fillId="0" borderId="52" xfId="0" applyFont="1" applyFill="1" applyBorder="1" applyAlignment="1"/>
    <xf numFmtId="0" fontId="0" fillId="0" borderId="59" xfId="0" applyFont="1" applyFill="1" applyBorder="1" applyAlignment="1"/>
    <xf numFmtId="0" fontId="11" fillId="0" borderId="8" xfId="0" applyFont="1" applyFill="1" applyBorder="1" applyAlignment="1"/>
    <xf numFmtId="0" fontId="11" fillId="0" borderId="60" xfId="0" applyFont="1" applyFill="1" applyBorder="1" applyAlignment="1"/>
    <xf numFmtId="0" fontId="4" fillId="0" borderId="61" xfId="0" applyFont="1" applyFill="1" applyBorder="1" applyAlignment="1">
      <alignment horizontal="right" vertical="center" wrapText="1"/>
    </xf>
    <xf numFmtId="0" fontId="0" fillId="0" borderId="62" xfId="0" applyFont="1" applyFill="1" applyBorder="1" applyAlignment="1"/>
    <xf numFmtId="0" fontId="0" fillId="0" borderId="56" xfId="0" applyFont="1" applyFill="1" applyBorder="1" applyAlignment="1"/>
    <xf numFmtId="0" fontId="4" fillId="0" borderId="63" xfId="0" applyFont="1" applyFill="1" applyBorder="1" applyAlignment="1">
      <alignment horizontal="right" vertical="top" wrapText="1"/>
    </xf>
    <xf numFmtId="0" fontId="0" fillId="0" borderId="6" xfId="0" applyFont="1" applyFill="1" applyBorder="1" applyAlignment="1"/>
    <xf numFmtId="0" fontId="0" fillId="0" borderId="5" xfId="0" applyFont="1" applyFill="1" applyBorder="1" applyAlignment="1"/>
    <xf numFmtId="0" fontId="4" fillId="0" borderId="57" xfId="0" applyFont="1" applyFill="1" applyBorder="1" applyAlignment="1">
      <alignment horizontal="right" wrapText="1"/>
    </xf>
    <xf numFmtId="0" fontId="0" fillId="0" borderId="35" xfId="0" applyFont="1" applyFill="1" applyBorder="1" applyAlignment="1">
      <alignment wrapText="1"/>
    </xf>
    <xf numFmtId="0" fontId="0" fillId="0" borderId="64" xfId="0" applyFont="1" applyFill="1" applyBorder="1" applyAlignment="1">
      <alignment wrapText="1"/>
    </xf>
    <xf numFmtId="0" fontId="9" fillId="11" borderId="47" xfId="0" applyFont="1" applyFill="1" applyBorder="1" applyAlignment="1">
      <alignment horizontal="right"/>
    </xf>
    <xf numFmtId="0" fontId="9" fillId="11" borderId="48" xfId="0" applyFont="1" applyFill="1" applyBorder="1" applyAlignment="1">
      <alignment horizontal="right"/>
    </xf>
    <xf numFmtId="0" fontId="0" fillId="12" borderId="50" xfId="0" applyFont="1" applyFill="1" applyBorder="1" applyAlignment="1">
      <alignment horizontal="center"/>
    </xf>
    <xf numFmtId="0" fontId="9" fillId="13" borderId="48" xfId="0" applyFont="1" applyFill="1" applyBorder="1" applyAlignment="1">
      <alignment horizontal="right"/>
    </xf>
    <xf numFmtId="0" fontId="9" fillId="14" borderId="47" xfId="0" applyFont="1" applyFill="1" applyBorder="1" applyAlignment="1">
      <alignment horizontal="right"/>
    </xf>
    <xf numFmtId="0" fontId="9" fillId="14" borderId="48" xfId="0" applyFont="1" applyFill="1" applyBorder="1" applyAlignment="1">
      <alignment horizontal="right"/>
    </xf>
    <xf numFmtId="0" fontId="9" fillId="15" borderId="47" xfId="0" applyFont="1" applyFill="1" applyBorder="1" applyAlignment="1">
      <alignment horizontal="right"/>
    </xf>
    <xf numFmtId="0" fontId="9" fillId="15" borderId="48" xfId="0" applyFont="1" applyFill="1" applyBorder="1" applyAlignment="1">
      <alignment horizontal="right"/>
    </xf>
    <xf numFmtId="0" fontId="10" fillId="0" borderId="0" xfId="1" applyFont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4" fillId="0" borderId="56" xfId="0" applyFont="1" applyFill="1" applyBorder="1" applyAlignment="1">
      <alignment horizontal="center"/>
    </xf>
    <xf numFmtId="0" fontId="4" fillId="0" borderId="54" xfId="0" applyFont="1" applyFill="1" applyBorder="1" applyAlignment="1">
      <alignment horizontal="center" vertical="center"/>
    </xf>
    <xf numFmtId="0" fontId="4" fillId="0" borderId="57" xfId="0" applyFont="1" applyFill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right" vertical="center" wrapText="1"/>
    </xf>
    <xf numFmtId="0" fontId="6" fillId="0" borderId="34" xfId="0" applyFont="1" applyBorder="1" applyAlignment="1">
      <alignment horizontal="right" vertical="center" wrapText="1"/>
    </xf>
    <xf numFmtId="0" fontId="0" fillId="0" borderId="0" xfId="0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2" borderId="0" xfId="0" applyFont="1" applyFill="1" applyAlignment="1">
      <alignment horizontal="center"/>
    </xf>
    <xf numFmtId="164" fontId="0" fillId="0" borderId="1" xfId="0" applyNumberFormat="1" applyFont="1" applyFill="1" applyBorder="1" applyAlignment="1">
      <alignment horizontal="center" vertical="center" textRotation="90"/>
    </xf>
    <xf numFmtId="166" fontId="0" fillId="0" borderId="1" xfId="0" applyNumberFormat="1" applyFont="1" applyFill="1" applyBorder="1" applyAlignment="1">
      <alignment horizontal="center" vertical="center" textRotation="90"/>
    </xf>
    <xf numFmtId="0" fontId="0" fillId="0" borderId="1" xfId="0" applyFont="1" applyFill="1" applyBorder="1" applyAlignment="1">
      <alignment horizontal="center" vertical="center" textRotation="90"/>
    </xf>
  </cellXfs>
  <cellStyles count="2">
    <cellStyle name="Заголовок 1" xfId="1" builtinId="16"/>
    <cellStyle name="Обычный" xfId="0" builtinId="0"/>
  </cellStyles>
  <dxfs count="5">
    <dxf>
      <font>
        <color theme="1"/>
      </font>
      <fill>
        <patternFill patternType="solid">
          <bgColor rgb="FFC00000"/>
        </patternFill>
      </fill>
    </dxf>
    <dxf>
      <font>
        <color theme="1"/>
      </font>
      <fill>
        <patternFill patternType="solid">
          <bgColor rgb="FF21FF26"/>
        </patternFill>
      </fill>
    </dxf>
    <dxf>
      <font>
        <color theme="1"/>
      </font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482D60"/>
      <color rgb="FF7B6993"/>
      <color rgb="FFA9A3BF"/>
      <color rgb="FF21FF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G30"/>
  <sheetViews>
    <sheetView workbookViewId="0">
      <selection activeCell="J15" sqref="J15"/>
    </sheetView>
  </sheetViews>
  <sheetFormatPr defaultColWidth="9.140625" defaultRowHeight="15"/>
  <cols>
    <col min="1" max="1" width="15" customWidth="1"/>
    <col min="2" max="2" width="17" customWidth="1"/>
    <col min="3" max="3" width="19.7109375" customWidth="1"/>
  </cols>
  <sheetData>
    <row r="2" spans="1:7" ht="15.75">
      <c r="A2" s="102" t="s">
        <v>0</v>
      </c>
      <c r="B2" s="103"/>
      <c r="C2" s="103"/>
      <c r="D2" s="81">
        <v>-8</v>
      </c>
      <c r="F2" s="104" t="s">
        <v>1</v>
      </c>
      <c r="G2" s="104"/>
    </row>
    <row r="3" spans="1:7" ht="15.75">
      <c r="A3" s="105" t="s">
        <v>2</v>
      </c>
      <c r="B3" s="105"/>
      <c r="C3" s="105"/>
      <c r="D3" s="82">
        <v>8</v>
      </c>
      <c r="F3" s="83" t="s">
        <v>3</v>
      </c>
      <c r="G3" s="83" t="s">
        <v>4</v>
      </c>
    </row>
    <row r="4" spans="1:7" ht="15.75">
      <c r="A4" s="106" t="s">
        <v>5</v>
      </c>
      <c r="B4" s="107"/>
      <c r="C4" s="107"/>
      <c r="D4" s="82">
        <v>1</v>
      </c>
      <c r="F4" s="84">
        <f>1</f>
        <v>1</v>
      </c>
      <c r="G4" s="84">
        <f>10</f>
        <v>10</v>
      </c>
    </row>
    <row r="5" spans="1:7" ht="15.75">
      <c r="A5" s="108" t="s">
        <v>6</v>
      </c>
      <c r="B5" s="109"/>
      <c r="C5" s="109"/>
      <c r="D5" s="85">
        <v>2.6</v>
      </c>
    </row>
    <row r="7" spans="1:7" ht="18.75">
      <c r="A7" s="110" t="s">
        <v>7</v>
      </c>
      <c r="B7" s="110"/>
      <c r="C7" s="110"/>
    </row>
    <row r="9" spans="1:7">
      <c r="A9" s="113" t="s">
        <v>8</v>
      </c>
      <c r="B9" s="111" t="s">
        <v>9</v>
      </c>
      <c r="C9" s="112"/>
    </row>
    <row r="10" spans="1:7">
      <c r="A10" s="114"/>
      <c r="B10" s="86" t="s">
        <v>10</v>
      </c>
      <c r="C10" s="87" t="s">
        <v>11</v>
      </c>
    </row>
    <row r="11" spans="1:7">
      <c r="A11" s="88">
        <f>D2</f>
        <v>-8</v>
      </c>
      <c r="B11" s="89">
        <f t="shared" ref="B11:B27" si="0">ROUND(SQRT(ABS(($A11/F$4)+(F$4*(SIN($A11))^2))),1)</f>
        <v>2.6</v>
      </c>
      <c r="C11" s="89">
        <f t="shared" ref="C11:C27" si="1">ROUND(SQRT(ABS(($A11/G$4)+(G$4*(SIN($A11))^2))),1)</f>
        <v>3</v>
      </c>
    </row>
    <row r="12" spans="1:7">
      <c r="A12" s="90">
        <f t="shared" ref="A12:A27" si="2">A11+D$4</f>
        <v>-7</v>
      </c>
      <c r="B12" s="91">
        <f t="shared" si="0"/>
        <v>2.6</v>
      </c>
      <c r="C12" s="91">
        <f t="shared" si="1"/>
        <v>1.9</v>
      </c>
    </row>
    <row r="13" spans="1:7">
      <c r="A13" s="90">
        <f t="shared" si="2"/>
        <v>-6</v>
      </c>
      <c r="B13" s="91">
        <f t="shared" si="0"/>
        <v>2.4</v>
      </c>
      <c r="C13" s="91">
        <f t="shared" si="1"/>
        <v>0.4</v>
      </c>
    </row>
    <row r="14" spans="1:7">
      <c r="A14" s="90">
        <f t="shared" si="2"/>
        <v>-5</v>
      </c>
      <c r="B14" s="91">
        <f t="shared" si="0"/>
        <v>2</v>
      </c>
      <c r="C14" s="91">
        <f t="shared" si="1"/>
        <v>2.9</v>
      </c>
    </row>
    <row r="15" spans="1:7">
      <c r="A15" s="90">
        <f t="shared" si="2"/>
        <v>-4</v>
      </c>
      <c r="B15" s="91">
        <f t="shared" si="0"/>
        <v>1.9</v>
      </c>
      <c r="C15" s="91">
        <f t="shared" si="1"/>
        <v>2.2999999999999998</v>
      </c>
    </row>
    <row r="16" spans="1:7">
      <c r="A16" s="90">
        <f t="shared" si="2"/>
        <v>-3</v>
      </c>
      <c r="B16" s="91">
        <f t="shared" si="0"/>
        <v>1.7</v>
      </c>
      <c r="C16" s="91">
        <f t="shared" si="1"/>
        <v>0.3</v>
      </c>
    </row>
    <row r="17" spans="1:3">
      <c r="A17" s="90">
        <f t="shared" si="2"/>
        <v>-2</v>
      </c>
      <c r="B17" s="91">
        <f t="shared" si="0"/>
        <v>1.1000000000000001</v>
      </c>
      <c r="C17" s="91">
        <f t="shared" si="1"/>
        <v>2.8</v>
      </c>
    </row>
    <row r="18" spans="1:3">
      <c r="A18" s="90">
        <f t="shared" si="2"/>
        <v>-1</v>
      </c>
      <c r="B18" s="91">
        <f t="shared" si="0"/>
        <v>0.5</v>
      </c>
      <c r="C18" s="91">
        <f t="shared" si="1"/>
        <v>2.6</v>
      </c>
    </row>
    <row r="19" spans="1:3">
      <c r="A19" s="90">
        <f t="shared" si="2"/>
        <v>0</v>
      </c>
      <c r="B19" s="91">
        <f t="shared" si="0"/>
        <v>0</v>
      </c>
      <c r="C19" s="91">
        <f t="shared" si="1"/>
        <v>0</v>
      </c>
    </row>
    <row r="20" spans="1:3">
      <c r="A20" s="90">
        <f t="shared" si="2"/>
        <v>1</v>
      </c>
      <c r="B20" s="91">
        <f t="shared" si="0"/>
        <v>1.3</v>
      </c>
      <c r="C20" s="91">
        <f t="shared" si="1"/>
        <v>2.7</v>
      </c>
    </row>
    <row r="21" spans="1:3">
      <c r="A21" s="90">
        <f t="shared" si="2"/>
        <v>2</v>
      </c>
      <c r="B21" s="91">
        <f t="shared" si="0"/>
        <v>1.7</v>
      </c>
      <c r="C21" s="91">
        <f t="shared" si="1"/>
        <v>2.9</v>
      </c>
    </row>
    <row r="22" spans="1:3">
      <c r="A22" s="90">
        <f t="shared" si="2"/>
        <v>3</v>
      </c>
      <c r="B22" s="91">
        <f t="shared" si="0"/>
        <v>1.7</v>
      </c>
      <c r="C22" s="91">
        <f t="shared" si="1"/>
        <v>0.7</v>
      </c>
    </row>
    <row r="23" spans="1:3">
      <c r="A23" s="90">
        <f t="shared" si="2"/>
        <v>4</v>
      </c>
      <c r="B23" s="91">
        <f t="shared" si="0"/>
        <v>2.1</v>
      </c>
      <c r="C23" s="91">
        <f t="shared" si="1"/>
        <v>2.5</v>
      </c>
    </row>
    <row r="24" spans="1:3">
      <c r="A24" s="90">
        <f t="shared" si="2"/>
        <v>5</v>
      </c>
      <c r="B24" s="91">
        <f t="shared" si="0"/>
        <v>2.4</v>
      </c>
      <c r="C24" s="91">
        <f t="shared" si="1"/>
        <v>3.1</v>
      </c>
    </row>
    <row r="25" spans="1:3">
      <c r="A25" s="90">
        <f t="shared" si="2"/>
        <v>6</v>
      </c>
      <c r="B25" s="91">
        <f t="shared" si="0"/>
        <v>2.5</v>
      </c>
      <c r="C25" s="91">
        <f t="shared" si="1"/>
        <v>1.2</v>
      </c>
    </row>
    <row r="26" spans="1:3">
      <c r="A26" s="90">
        <f t="shared" si="2"/>
        <v>7</v>
      </c>
      <c r="B26" s="91">
        <f t="shared" si="0"/>
        <v>2.7</v>
      </c>
      <c r="C26" s="91">
        <f t="shared" si="1"/>
        <v>2.2000000000000002</v>
      </c>
    </row>
    <row r="27" spans="1:3">
      <c r="A27" s="90">
        <f t="shared" si="2"/>
        <v>8</v>
      </c>
      <c r="B27" s="92">
        <f t="shared" si="0"/>
        <v>3</v>
      </c>
      <c r="C27" s="92">
        <f t="shared" si="1"/>
        <v>3.3</v>
      </c>
    </row>
    <row r="28" spans="1:3" ht="45">
      <c r="A28" s="93" t="s">
        <v>12</v>
      </c>
      <c r="B28" s="94">
        <f>LARGE(B11:B27,1)</f>
        <v>3</v>
      </c>
      <c r="C28" s="95">
        <f>LARGE(C11:C27,1)</f>
        <v>3.3</v>
      </c>
    </row>
    <row r="29" spans="1:3" ht="45">
      <c r="A29" s="96" t="s">
        <v>13</v>
      </c>
      <c r="B29" s="97">
        <f>SMALL(B11:B27,1)</f>
        <v>0</v>
      </c>
      <c r="C29" s="98">
        <f>SMALL(C11:C27,1)</f>
        <v>0</v>
      </c>
    </row>
    <row r="30" spans="1:3" ht="45">
      <c r="A30" s="99" t="s">
        <v>14</v>
      </c>
      <c r="B30" s="100">
        <f>COUNTIF(B11:B27,D5)</f>
        <v>2</v>
      </c>
      <c r="C30" s="101">
        <f>COUNTIF(C11:C27,D5)</f>
        <v>1</v>
      </c>
    </row>
  </sheetData>
  <mergeCells count="8">
    <mergeCell ref="A7:C7"/>
    <mergeCell ref="B9:C9"/>
    <mergeCell ref="A9:A10"/>
    <mergeCell ref="A2:C2"/>
    <mergeCell ref="F2:G2"/>
    <mergeCell ref="A3:C3"/>
    <mergeCell ref="A4:C4"/>
    <mergeCell ref="A5:C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31"/>
  <sheetViews>
    <sheetView workbookViewId="0">
      <selection activeCell="P24" sqref="P24"/>
    </sheetView>
  </sheetViews>
  <sheetFormatPr defaultColWidth="9.140625" defaultRowHeight="15"/>
  <cols>
    <col min="1" max="1" width="4.7109375" customWidth="1"/>
    <col min="2" max="2" width="16.5703125" customWidth="1"/>
    <col min="3" max="4" width="9.42578125"/>
    <col min="5" max="5" width="10" customWidth="1"/>
    <col min="6" max="8" width="10.5703125"/>
    <col min="9" max="9" width="10" customWidth="1"/>
    <col min="10" max="10" width="13" customWidth="1"/>
    <col min="11" max="11" width="14.42578125" customWidth="1"/>
    <col min="12" max="12" width="10.140625" customWidth="1"/>
  </cols>
  <sheetData>
    <row r="1" spans="1:14">
      <c r="A1" s="129" t="s">
        <v>15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62"/>
      <c r="N1" s="62"/>
    </row>
    <row r="2" spans="1:14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62"/>
      <c r="N2" s="62"/>
    </row>
    <row r="3" spans="1:14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62"/>
      <c r="N3" s="62"/>
    </row>
    <row r="4" spans="1:14" ht="39" customHeight="1">
      <c r="A4" s="119" t="s">
        <v>16</v>
      </c>
      <c r="B4" s="121" t="s">
        <v>17</v>
      </c>
      <c r="C4" s="115" t="s">
        <v>18</v>
      </c>
      <c r="D4" s="115"/>
      <c r="E4" s="115"/>
      <c r="F4" s="115"/>
      <c r="G4" s="115"/>
      <c r="H4" s="115"/>
      <c r="I4" s="115"/>
      <c r="J4" s="123" t="s">
        <v>19</v>
      </c>
      <c r="K4" s="125" t="s">
        <v>20</v>
      </c>
      <c r="L4" s="127" t="s">
        <v>21</v>
      </c>
      <c r="M4" s="62"/>
      <c r="N4" s="62"/>
    </row>
    <row r="5" spans="1:14" ht="56.1" customHeight="1">
      <c r="A5" s="120"/>
      <c r="B5" s="122"/>
      <c r="C5" s="42" t="s">
        <v>22</v>
      </c>
      <c r="D5" s="43" t="s">
        <v>23</v>
      </c>
      <c r="E5" s="43" t="s">
        <v>24</v>
      </c>
      <c r="F5" s="43" t="s">
        <v>25</v>
      </c>
      <c r="G5" s="43" t="s">
        <v>26</v>
      </c>
      <c r="H5" s="43" t="s">
        <v>27</v>
      </c>
      <c r="I5" s="63" t="s">
        <v>28</v>
      </c>
      <c r="J5" s="124"/>
      <c r="K5" s="126"/>
      <c r="L5" s="128"/>
      <c r="M5" s="62"/>
      <c r="N5" s="62"/>
    </row>
    <row r="6" spans="1:14">
      <c r="A6" s="44" t="s">
        <v>29</v>
      </c>
      <c r="B6" s="45" t="s">
        <v>30</v>
      </c>
      <c r="C6" s="46" t="s">
        <v>31</v>
      </c>
      <c r="D6" s="47" t="s">
        <v>32</v>
      </c>
      <c r="E6" s="47" t="s">
        <v>33</v>
      </c>
      <c r="F6" s="47" t="s">
        <v>34</v>
      </c>
      <c r="G6" s="47" t="s">
        <v>35</v>
      </c>
      <c r="H6" s="47" t="s">
        <v>36</v>
      </c>
      <c r="I6" s="64" t="s">
        <v>37</v>
      </c>
      <c r="J6" s="65" t="s">
        <v>38</v>
      </c>
      <c r="K6" s="66" t="s">
        <v>39</v>
      </c>
      <c r="L6" s="67" t="s">
        <v>40</v>
      </c>
      <c r="M6" s="62"/>
      <c r="N6" s="62"/>
    </row>
    <row r="7" spans="1:14" ht="15.75">
      <c r="A7" s="48">
        <v>1</v>
      </c>
      <c r="B7" s="49" t="s">
        <v>41</v>
      </c>
      <c r="C7" s="50"/>
      <c r="D7" s="51">
        <v>150.30000000000001</v>
      </c>
      <c r="E7" s="51">
        <v>10</v>
      </c>
      <c r="F7" s="51">
        <v>6</v>
      </c>
      <c r="G7" s="51">
        <v>25</v>
      </c>
      <c r="H7" s="51">
        <v>901.8</v>
      </c>
      <c r="I7" s="68">
        <v>3757.5</v>
      </c>
      <c r="J7" s="69">
        <f t="shared" ref="J7:J19" si="0">SUM(C7:I7)</f>
        <v>4850.6000000000004</v>
      </c>
      <c r="K7" s="70" t="s">
        <v>42</v>
      </c>
      <c r="L7" s="71"/>
      <c r="M7" s="62"/>
      <c r="N7" s="62"/>
    </row>
    <row r="8" spans="1:14" ht="15.75">
      <c r="A8" s="52">
        <v>2</v>
      </c>
      <c r="B8" s="53" t="s">
        <v>43</v>
      </c>
      <c r="C8" s="54">
        <v>78</v>
      </c>
      <c r="D8" s="55"/>
      <c r="E8" s="55">
        <v>20</v>
      </c>
      <c r="F8" s="55"/>
      <c r="G8" s="55">
        <v>4</v>
      </c>
      <c r="H8" s="55"/>
      <c r="I8" s="72"/>
      <c r="J8" s="73">
        <f t="shared" si="0"/>
        <v>102</v>
      </c>
      <c r="K8" s="74" t="s">
        <v>44</v>
      </c>
      <c r="L8" s="75"/>
      <c r="M8" s="62"/>
      <c r="N8" s="62"/>
    </row>
    <row r="9" spans="1:14" ht="15.75">
      <c r="A9" s="52">
        <v>3</v>
      </c>
      <c r="B9" s="53" t="s">
        <v>45</v>
      </c>
      <c r="C9" s="54">
        <v>115</v>
      </c>
      <c r="D9" s="55">
        <v>60.5</v>
      </c>
      <c r="E9" s="55"/>
      <c r="F9" s="55">
        <v>19</v>
      </c>
      <c r="G9" s="55">
        <v>45</v>
      </c>
      <c r="H9" s="55">
        <v>1278</v>
      </c>
      <c r="I9" s="72">
        <v>2013.46</v>
      </c>
      <c r="J9" s="73">
        <f t="shared" si="0"/>
        <v>3530.96</v>
      </c>
      <c r="K9" s="74" t="s">
        <v>46</v>
      </c>
      <c r="L9" s="75"/>
      <c r="M9" s="62"/>
      <c r="N9" s="62"/>
    </row>
    <row r="10" spans="1:14" ht="15.75">
      <c r="A10" s="52">
        <v>4</v>
      </c>
      <c r="B10" s="53" t="s">
        <v>47</v>
      </c>
      <c r="C10" s="54">
        <v>152</v>
      </c>
      <c r="D10" s="55">
        <v>100</v>
      </c>
      <c r="E10" s="55">
        <v>48</v>
      </c>
      <c r="F10" s="55"/>
      <c r="G10" s="55">
        <v>456</v>
      </c>
      <c r="H10" s="55">
        <v>456</v>
      </c>
      <c r="I10" s="72">
        <v>456</v>
      </c>
      <c r="J10" s="73">
        <f t="shared" si="0"/>
        <v>1668</v>
      </c>
      <c r="K10" s="74" t="s">
        <v>48</v>
      </c>
      <c r="L10" s="75"/>
      <c r="M10" s="62"/>
      <c r="N10" s="62"/>
    </row>
    <row r="11" spans="1:14" ht="15.75">
      <c r="A11" s="52">
        <v>5</v>
      </c>
      <c r="B11" s="53" t="s">
        <v>49</v>
      </c>
      <c r="C11" s="54">
        <v>189</v>
      </c>
      <c r="D11" s="55">
        <v>50</v>
      </c>
      <c r="E11" s="55">
        <v>145</v>
      </c>
      <c r="F11" s="55"/>
      <c r="G11" s="55">
        <v>258</v>
      </c>
      <c r="H11" s="55">
        <v>329</v>
      </c>
      <c r="I11" s="72">
        <v>400</v>
      </c>
      <c r="J11" s="73">
        <f t="shared" si="0"/>
        <v>1371</v>
      </c>
      <c r="K11" s="74" t="s">
        <v>50</v>
      </c>
      <c r="L11" s="75"/>
      <c r="M11" s="62"/>
      <c r="N11" s="62"/>
    </row>
    <row r="12" spans="1:14" ht="15.75">
      <c r="A12" s="52">
        <v>6</v>
      </c>
      <c r="B12" s="53" t="s">
        <v>51</v>
      </c>
      <c r="C12" s="54">
        <v>2500</v>
      </c>
      <c r="D12" s="55">
        <v>1450</v>
      </c>
      <c r="E12" s="55">
        <v>400</v>
      </c>
      <c r="F12" s="55">
        <v>6500</v>
      </c>
      <c r="G12" s="55"/>
      <c r="H12" s="55">
        <v>13500</v>
      </c>
      <c r="I12" s="72">
        <v>17000</v>
      </c>
      <c r="J12" s="73">
        <f t="shared" si="0"/>
        <v>41350</v>
      </c>
      <c r="K12" s="74" t="s">
        <v>52</v>
      </c>
      <c r="L12" s="75"/>
      <c r="M12" s="62"/>
      <c r="N12" s="62"/>
    </row>
    <row r="13" spans="1:14" ht="15.75">
      <c r="A13" s="52">
        <v>7</v>
      </c>
      <c r="B13" s="53" t="s">
        <v>53</v>
      </c>
      <c r="C13" s="54">
        <v>263</v>
      </c>
      <c r="D13" s="55">
        <v>4851</v>
      </c>
      <c r="E13" s="55">
        <v>9439</v>
      </c>
      <c r="F13" s="55">
        <v>1456.78</v>
      </c>
      <c r="G13" s="55">
        <v>1478</v>
      </c>
      <c r="H13" s="55"/>
      <c r="I13" s="72">
        <v>33600</v>
      </c>
      <c r="J13" s="73">
        <f t="shared" si="0"/>
        <v>51087.78</v>
      </c>
      <c r="K13" s="74" t="s">
        <v>54</v>
      </c>
      <c r="L13" s="75"/>
      <c r="M13" s="62"/>
      <c r="N13" s="62"/>
    </row>
    <row r="14" spans="1:14" ht="15.75">
      <c r="A14" s="52">
        <v>8</v>
      </c>
      <c r="B14" s="53" t="s">
        <v>55</v>
      </c>
      <c r="C14" s="54">
        <v>300</v>
      </c>
      <c r="D14" s="55">
        <v>120</v>
      </c>
      <c r="E14" s="55">
        <v>158</v>
      </c>
      <c r="F14" s="55">
        <v>474</v>
      </c>
      <c r="G14" s="55">
        <v>456</v>
      </c>
      <c r="H14" s="55">
        <v>39842</v>
      </c>
      <c r="I14" s="72"/>
      <c r="J14" s="73">
        <f t="shared" si="0"/>
        <v>41350</v>
      </c>
      <c r="K14" s="74" t="s">
        <v>56</v>
      </c>
      <c r="L14" s="75"/>
      <c r="M14" s="62"/>
      <c r="N14" s="62"/>
    </row>
    <row r="15" spans="1:14" ht="15.75">
      <c r="A15" s="52">
        <v>9</v>
      </c>
      <c r="B15" s="53" t="s">
        <v>57</v>
      </c>
      <c r="C15" s="54">
        <v>337</v>
      </c>
      <c r="D15" s="55">
        <v>1230</v>
      </c>
      <c r="E15" s="55">
        <v>2123</v>
      </c>
      <c r="F15" s="55">
        <v>3016</v>
      </c>
      <c r="G15" s="55">
        <v>3909</v>
      </c>
      <c r="H15" s="55">
        <v>4802</v>
      </c>
      <c r="I15" s="72"/>
      <c r="J15" s="73">
        <f t="shared" si="0"/>
        <v>15417</v>
      </c>
      <c r="K15" s="74" t="s">
        <v>58</v>
      </c>
      <c r="L15" s="75"/>
      <c r="M15" s="62"/>
      <c r="N15" s="62"/>
    </row>
    <row r="16" spans="1:14" ht="15.75">
      <c r="A16" s="52">
        <v>10</v>
      </c>
      <c r="B16" s="53" t="s">
        <v>59</v>
      </c>
      <c r="C16" s="54"/>
      <c r="D16" s="55">
        <v>30</v>
      </c>
      <c r="E16" s="55">
        <v>40</v>
      </c>
      <c r="F16" s="55">
        <v>40</v>
      </c>
      <c r="G16" s="55">
        <v>6362</v>
      </c>
      <c r="H16" s="55">
        <v>1200</v>
      </c>
      <c r="I16" s="72">
        <v>1956.05</v>
      </c>
      <c r="J16" s="73">
        <f t="shared" si="0"/>
        <v>9628.0499999999993</v>
      </c>
      <c r="K16" s="74" t="s">
        <v>60</v>
      </c>
      <c r="L16" s="75"/>
      <c r="M16" s="62"/>
      <c r="N16" s="62"/>
    </row>
    <row r="17" spans="1:14" ht="15.75">
      <c r="A17" s="52">
        <v>11</v>
      </c>
      <c r="B17" s="53" t="s">
        <v>61</v>
      </c>
      <c r="C17" s="54">
        <v>120</v>
      </c>
      <c r="D17" s="55"/>
      <c r="E17" s="55">
        <v>25</v>
      </c>
      <c r="F17" s="55">
        <v>22</v>
      </c>
      <c r="G17" s="55">
        <v>8815</v>
      </c>
      <c r="H17" s="55"/>
      <c r="I17" s="72">
        <v>2546</v>
      </c>
      <c r="J17" s="73">
        <f t="shared" si="0"/>
        <v>11528</v>
      </c>
      <c r="K17" s="74" t="s">
        <v>62</v>
      </c>
      <c r="L17" s="75"/>
      <c r="M17" s="62"/>
      <c r="N17" s="62"/>
    </row>
    <row r="18" spans="1:14" ht="15.75">
      <c r="A18" s="56">
        <v>12</v>
      </c>
      <c r="B18" s="57" t="s">
        <v>63</v>
      </c>
      <c r="C18" s="58">
        <v>560</v>
      </c>
      <c r="D18" s="59">
        <v>200.1</v>
      </c>
      <c r="E18" s="59"/>
      <c r="F18" s="59">
        <v>13</v>
      </c>
      <c r="G18" s="59">
        <v>45</v>
      </c>
      <c r="H18" s="59">
        <v>2601.3000000000002</v>
      </c>
      <c r="I18" s="76">
        <v>111.56</v>
      </c>
      <c r="J18" s="73">
        <f t="shared" si="0"/>
        <v>3530.96</v>
      </c>
      <c r="K18" s="77" t="s">
        <v>64</v>
      </c>
      <c r="L18" s="78"/>
      <c r="M18" s="62"/>
      <c r="N18" s="62"/>
    </row>
    <row r="19" spans="1:14" ht="15.75">
      <c r="A19" s="116" t="s">
        <v>65</v>
      </c>
      <c r="B19" s="117"/>
      <c r="C19" s="60">
        <f t="shared" ref="C19:I19" si="1">SUM(C7:C18)</f>
        <v>4614</v>
      </c>
      <c r="D19" s="61">
        <f t="shared" si="1"/>
        <v>8241.9</v>
      </c>
      <c r="E19" s="61">
        <f t="shared" si="1"/>
        <v>12408</v>
      </c>
      <c r="F19" s="61">
        <f t="shared" si="1"/>
        <v>11546.779999999999</v>
      </c>
      <c r="G19" s="61">
        <f t="shared" si="1"/>
        <v>21853</v>
      </c>
      <c r="H19" s="61">
        <f t="shared" si="1"/>
        <v>64910.100000000006</v>
      </c>
      <c r="I19" s="79">
        <f t="shared" si="1"/>
        <v>61840.57</v>
      </c>
      <c r="J19" s="80">
        <f t="shared" si="0"/>
        <v>185414.35</v>
      </c>
      <c r="K19" s="118"/>
      <c r="L19" s="118"/>
      <c r="M19" s="62"/>
      <c r="N19" s="62"/>
    </row>
    <row r="20" spans="1:14">
      <c r="A20" s="130" t="s">
        <v>66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62"/>
      <c r="N20" s="62"/>
    </row>
    <row r="21" spans="1:14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62"/>
      <c r="N21" s="62"/>
    </row>
    <row r="22" spans="1:14">
      <c r="A22" s="13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62"/>
      <c r="N22" s="62"/>
    </row>
    <row r="23" spans="1:14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62"/>
      <c r="N23" s="62"/>
    </row>
    <row r="24" spans="1:14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62"/>
      <c r="N24" s="62"/>
    </row>
    <row r="25" spans="1:14">
      <c r="A25" s="130"/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62"/>
      <c r="N25" s="62"/>
    </row>
    <row r="26" spans="1:14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1:14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1:14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1:14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</row>
    <row r="30" spans="1:14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</row>
    <row r="31" spans="1:14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</row>
  </sheetData>
  <mergeCells count="10">
    <mergeCell ref="A1:L3"/>
    <mergeCell ref="A20:L25"/>
    <mergeCell ref="C4:I4"/>
    <mergeCell ref="A19:B19"/>
    <mergeCell ref="K19:L19"/>
    <mergeCell ref="A4:A5"/>
    <mergeCell ref="B4:B5"/>
    <mergeCell ref="J4:J5"/>
    <mergeCell ref="K4:K5"/>
    <mergeCell ref="L4:L5"/>
  </mergeCells>
  <conditionalFormatting sqref="C7:J19">
    <cfRule type="cellIs" dxfId="4" priority="3" operator="lessThan">
      <formula>0</formula>
    </cfRule>
    <cfRule type="cellIs" dxfId="3" priority="2" operator="lessThan">
      <formula>0</formula>
    </cfRule>
    <cfRule type="cellIs" dxfId="2" priority="1" operator="lessThan">
      <formula>0</formula>
    </cfRule>
  </conditionalFormatting>
  <pageMargins left="0.75138888888888899" right="0.75138888888888899" top="1" bottom="1" header="0.5" footer="0.5"/>
  <pageSetup paperSize="9" orientation="landscape"/>
  <headerFooter>
    <oddHeader>&amp;LКривоносов Егор Дмитриевич &amp;CВариант 15&amp;R&amp;F</oddHeader>
    <oddFooter>&amp;C&amp;D 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110"/>
  <sheetViews>
    <sheetView workbookViewId="0">
      <selection activeCell="H2" sqref="H2"/>
    </sheetView>
  </sheetViews>
  <sheetFormatPr defaultColWidth="9.140625" defaultRowHeight="15"/>
  <cols>
    <col min="1" max="2" width="14.5703125" customWidth="1"/>
    <col min="3" max="3" width="14.7109375" customWidth="1"/>
    <col min="4" max="4" width="16.42578125" customWidth="1"/>
    <col min="5" max="5" width="14.28515625" customWidth="1"/>
    <col min="6" max="6" width="28.85546875" customWidth="1"/>
    <col min="7" max="7" width="16.42578125" style="26" customWidth="1"/>
    <col min="8" max="8" width="22.28515625" customWidth="1"/>
  </cols>
  <sheetData>
    <row r="1" spans="1:8" ht="35.1" customHeight="1">
      <c r="A1" s="27" t="s">
        <v>67</v>
      </c>
      <c r="B1" s="27" t="s">
        <v>68</v>
      </c>
      <c r="C1" s="27" t="s">
        <v>69</v>
      </c>
      <c r="D1" s="27" t="s">
        <v>70</v>
      </c>
      <c r="E1" s="27" t="s">
        <v>71</v>
      </c>
      <c r="F1" s="27" t="s">
        <v>72</v>
      </c>
      <c r="G1" s="27" t="s">
        <v>73</v>
      </c>
      <c r="H1" s="27" t="s">
        <v>74</v>
      </c>
    </row>
    <row r="2" spans="1:8">
      <c r="A2" s="28"/>
      <c r="B2" s="28" t="s">
        <v>75</v>
      </c>
      <c r="C2" s="29">
        <v>1</v>
      </c>
      <c r="D2" s="28"/>
      <c r="E2" s="29"/>
      <c r="F2" s="28"/>
      <c r="G2" s="28"/>
      <c r="H2" s="28"/>
    </row>
    <row r="3" spans="1:8">
      <c r="A3" s="30" t="s">
        <v>76</v>
      </c>
      <c r="B3" s="30" t="s">
        <v>77</v>
      </c>
      <c r="C3" s="31">
        <v>1</v>
      </c>
      <c r="D3" s="30">
        <v>1</v>
      </c>
      <c r="E3" s="31" t="s">
        <v>35</v>
      </c>
      <c r="F3" s="30" t="s">
        <v>78</v>
      </c>
      <c r="G3" s="32">
        <v>1.00797</v>
      </c>
      <c r="H3" s="30"/>
    </row>
    <row r="4" spans="1:8">
      <c r="A4" s="30" t="s">
        <v>79</v>
      </c>
      <c r="B4" s="30" t="s">
        <v>80</v>
      </c>
      <c r="C4" s="31">
        <v>1</v>
      </c>
      <c r="D4" s="30">
        <v>2</v>
      </c>
      <c r="E4" s="31" t="s">
        <v>36</v>
      </c>
      <c r="F4" s="30" t="s">
        <v>81</v>
      </c>
      <c r="G4" s="32">
        <v>4.0026000000000002</v>
      </c>
      <c r="H4" s="30"/>
    </row>
    <row r="5" spans="1:8">
      <c r="A5" s="30" t="s">
        <v>82</v>
      </c>
      <c r="B5" s="30" t="s">
        <v>83</v>
      </c>
      <c r="C5" s="31">
        <v>2</v>
      </c>
      <c r="D5" s="30">
        <v>3</v>
      </c>
      <c r="E5" s="31" t="s">
        <v>29</v>
      </c>
      <c r="F5" s="30" t="s">
        <v>84</v>
      </c>
      <c r="G5" s="32">
        <v>6.9390000000000001</v>
      </c>
      <c r="H5" s="30"/>
    </row>
    <row r="6" spans="1:8">
      <c r="A6" s="30" t="s">
        <v>85</v>
      </c>
      <c r="B6" s="30" t="s">
        <v>86</v>
      </c>
      <c r="C6" s="31">
        <v>2</v>
      </c>
      <c r="D6" s="30">
        <v>4</v>
      </c>
      <c r="E6" s="31" t="s">
        <v>30</v>
      </c>
      <c r="F6" s="30" t="s">
        <v>87</v>
      </c>
      <c r="G6" s="32">
        <v>9.0122</v>
      </c>
      <c r="H6" s="30"/>
    </row>
    <row r="7" spans="1:8">
      <c r="A7" s="33" t="s">
        <v>88</v>
      </c>
      <c r="B7" s="33" t="s">
        <v>89</v>
      </c>
      <c r="C7" s="34">
        <v>2</v>
      </c>
      <c r="D7" s="33">
        <v>5</v>
      </c>
      <c r="E7" s="34" t="s">
        <v>31</v>
      </c>
      <c r="F7" s="33" t="s">
        <v>90</v>
      </c>
      <c r="G7" s="35">
        <v>10.811</v>
      </c>
      <c r="H7" s="33"/>
    </row>
    <row r="8" spans="1:8">
      <c r="A8" s="33" t="s">
        <v>91</v>
      </c>
      <c r="B8" s="33" t="s">
        <v>92</v>
      </c>
      <c r="C8" s="34">
        <v>2</v>
      </c>
      <c r="D8" s="33">
        <v>6</v>
      </c>
      <c r="E8" s="34" t="s">
        <v>32</v>
      </c>
      <c r="F8" s="33" t="s">
        <v>78</v>
      </c>
      <c r="G8" s="35">
        <v>12.011150000000001</v>
      </c>
      <c r="H8" s="33"/>
    </row>
    <row r="9" spans="1:8">
      <c r="A9" s="33" t="s">
        <v>93</v>
      </c>
      <c r="B9" s="33" t="s">
        <v>94</v>
      </c>
      <c r="C9" s="34">
        <v>2</v>
      </c>
      <c r="D9" s="33">
        <v>7</v>
      </c>
      <c r="E9" s="34" t="s">
        <v>33</v>
      </c>
      <c r="F9" s="33" t="s">
        <v>78</v>
      </c>
      <c r="G9" s="35">
        <v>14.0067</v>
      </c>
      <c r="H9" s="33"/>
    </row>
    <row r="10" spans="1:8">
      <c r="A10" s="33" t="s">
        <v>95</v>
      </c>
      <c r="B10" s="33" t="s">
        <v>96</v>
      </c>
      <c r="C10" s="34">
        <v>2</v>
      </c>
      <c r="D10" s="33">
        <v>8</v>
      </c>
      <c r="E10" s="34" t="s">
        <v>34</v>
      </c>
      <c r="F10" s="33" t="s">
        <v>78</v>
      </c>
      <c r="G10" s="35">
        <v>15.9994</v>
      </c>
      <c r="H10" s="33"/>
    </row>
    <row r="11" spans="1:8">
      <c r="A11" s="33" t="s">
        <v>97</v>
      </c>
      <c r="B11" s="33" t="s">
        <v>98</v>
      </c>
      <c r="C11" s="34">
        <v>2</v>
      </c>
      <c r="D11" s="33">
        <v>9</v>
      </c>
      <c r="E11" s="34" t="s">
        <v>35</v>
      </c>
      <c r="F11" s="33" t="s">
        <v>99</v>
      </c>
      <c r="G11" s="35">
        <v>18.9984</v>
      </c>
      <c r="H11" s="33"/>
    </row>
    <row r="12" spans="1:8">
      <c r="A12" s="33" t="s">
        <v>100</v>
      </c>
      <c r="B12" s="33" t="s">
        <v>101</v>
      </c>
      <c r="C12" s="34">
        <v>2</v>
      </c>
      <c r="D12" s="33">
        <v>10</v>
      </c>
      <c r="E12" s="34" t="s">
        <v>36</v>
      </c>
      <c r="F12" s="33" t="s">
        <v>81</v>
      </c>
      <c r="G12" s="35">
        <v>20.178999999999998</v>
      </c>
      <c r="H12" s="33"/>
    </row>
    <row r="13" spans="1:8">
      <c r="A13" s="30" t="s">
        <v>102</v>
      </c>
      <c r="B13" s="30" t="s">
        <v>103</v>
      </c>
      <c r="C13" s="31">
        <v>3</v>
      </c>
      <c r="D13" s="30">
        <v>11</v>
      </c>
      <c r="E13" s="31" t="s">
        <v>29</v>
      </c>
      <c r="F13" s="30" t="s">
        <v>84</v>
      </c>
      <c r="G13" s="32">
        <v>22.989799999999999</v>
      </c>
      <c r="H13" s="30"/>
    </row>
    <row r="14" spans="1:8">
      <c r="A14" s="30" t="s">
        <v>104</v>
      </c>
      <c r="B14" s="30" t="s">
        <v>105</v>
      </c>
      <c r="C14" s="31">
        <v>3</v>
      </c>
      <c r="D14" s="30">
        <v>12</v>
      </c>
      <c r="E14" s="31" t="s">
        <v>30</v>
      </c>
      <c r="F14" s="30" t="s">
        <v>87</v>
      </c>
      <c r="G14" s="32">
        <v>24.305</v>
      </c>
      <c r="H14" s="30"/>
    </row>
    <row r="15" spans="1:8">
      <c r="A15" s="33" t="s">
        <v>106</v>
      </c>
      <c r="B15" s="33" t="s">
        <v>107</v>
      </c>
      <c r="C15" s="34">
        <v>3</v>
      </c>
      <c r="D15" s="33">
        <v>13</v>
      </c>
      <c r="E15" s="34" t="s">
        <v>31</v>
      </c>
      <c r="F15" s="33" t="s">
        <v>108</v>
      </c>
      <c r="G15" s="35">
        <v>26.9815</v>
      </c>
      <c r="H15" s="33"/>
    </row>
    <row r="16" spans="1:8">
      <c r="A16" s="33" t="s">
        <v>109</v>
      </c>
      <c r="B16" s="33" t="s">
        <v>110</v>
      </c>
      <c r="C16" s="34">
        <v>3</v>
      </c>
      <c r="D16" s="33">
        <v>14</v>
      </c>
      <c r="E16" s="34" t="s">
        <v>32</v>
      </c>
      <c r="F16" s="33" t="s">
        <v>90</v>
      </c>
      <c r="G16" s="35">
        <v>28.085999999999999</v>
      </c>
      <c r="H16" s="33"/>
    </row>
    <row r="17" spans="1:8">
      <c r="A17" s="33" t="s">
        <v>111</v>
      </c>
      <c r="B17" s="33" t="s">
        <v>112</v>
      </c>
      <c r="C17" s="34">
        <v>3</v>
      </c>
      <c r="D17" s="33">
        <v>15</v>
      </c>
      <c r="E17" s="34" t="s">
        <v>33</v>
      </c>
      <c r="F17" s="33" t="s">
        <v>78</v>
      </c>
      <c r="G17" s="35">
        <v>30.973800000000001</v>
      </c>
      <c r="H17" s="33"/>
    </row>
    <row r="18" spans="1:8">
      <c r="A18" s="33" t="s">
        <v>113</v>
      </c>
      <c r="B18" s="33" t="s">
        <v>110</v>
      </c>
      <c r="C18" s="34">
        <v>3</v>
      </c>
      <c r="D18" s="33">
        <v>16</v>
      </c>
      <c r="E18" s="34" t="s">
        <v>34</v>
      </c>
      <c r="F18" s="33" t="s">
        <v>78</v>
      </c>
      <c r="G18" s="35">
        <v>32.064</v>
      </c>
      <c r="H18" s="33"/>
    </row>
    <row r="19" spans="1:8">
      <c r="A19" s="33" t="s">
        <v>114</v>
      </c>
      <c r="B19" s="33" t="s">
        <v>115</v>
      </c>
      <c r="C19" s="34">
        <v>3</v>
      </c>
      <c r="D19" s="33">
        <v>17</v>
      </c>
      <c r="E19" s="34" t="s">
        <v>35</v>
      </c>
      <c r="F19" s="33" t="s">
        <v>99</v>
      </c>
      <c r="G19" s="35">
        <v>35.453000000000003</v>
      </c>
      <c r="H19" s="33"/>
    </row>
    <row r="20" spans="1:8">
      <c r="A20" s="33" t="s">
        <v>116</v>
      </c>
      <c r="B20" s="33" t="s">
        <v>117</v>
      </c>
      <c r="C20" s="34">
        <v>3</v>
      </c>
      <c r="D20" s="33">
        <v>18</v>
      </c>
      <c r="E20" s="34" t="s">
        <v>36</v>
      </c>
      <c r="F20" s="33" t="s">
        <v>81</v>
      </c>
      <c r="G20" s="35">
        <v>39.948</v>
      </c>
      <c r="H20" s="33"/>
    </row>
    <row r="21" spans="1:8">
      <c r="A21" s="30" t="s">
        <v>118</v>
      </c>
      <c r="B21" s="30" t="s">
        <v>119</v>
      </c>
      <c r="C21" s="31">
        <v>4</v>
      </c>
      <c r="D21" s="30">
        <v>19</v>
      </c>
      <c r="E21" s="31" t="s">
        <v>29</v>
      </c>
      <c r="F21" s="30" t="s">
        <v>84</v>
      </c>
      <c r="G21" s="32">
        <v>39.101999999999997</v>
      </c>
      <c r="H21" s="30"/>
    </row>
    <row r="22" spans="1:8">
      <c r="A22" s="30" t="s">
        <v>120</v>
      </c>
      <c r="B22" s="30" t="s">
        <v>121</v>
      </c>
      <c r="C22" s="31">
        <v>4</v>
      </c>
      <c r="D22" s="30">
        <v>20</v>
      </c>
      <c r="E22" s="31" t="s">
        <v>30</v>
      </c>
      <c r="F22" s="30" t="s">
        <v>87</v>
      </c>
      <c r="G22" s="32">
        <v>40.08</v>
      </c>
      <c r="H22" s="30"/>
    </row>
    <row r="23" spans="1:8">
      <c r="A23" s="36" t="s">
        <v>122</v>
      </c>
      <c r="B23" s="36" t="s">
        <v>123</v>
      </c>
      <c r="C23" s="37">
        <v>4</v>
      </c>
      <c r="D23" s="36">
        <v>21</v>
      </c>
      <c r="E23" s="37" t="s">
        <v>31</v>
      </c>
      <c r="F23" s="36" t="s">
        <v>124</v>
      </c>
      <c r="G23" s="38">
        <v>44.956000000000003</v>
      </c>
      <c r="H23" s="36"/>
    </row>
    <row r="24" spans="1:8">
      <c r="A24" s="36" t="s">
        <v>125</v>
      </c>
      <c r="B24" s="36" t="s">
        <v>126</v>
      </c>
      <c r="C24" s="37">
        <v>4</v>
      </c>
      <c r="D24" s="36">
        <v>22</v>
      </c>
      <c r="E24" s="37" t="s">
        <v>32</v>
      </c>
      <c r="F24" s="36" t="s">
        <v>124</v>
      </c>
      <c r="G24" s="38">
        <v>47.9</v>
      </c>
      <c r="H24" s="36"/>
    </row>
    <row r="25" spans="1:8">
      <c r="A25" s="36" t="s">
        <v>127</v>
      </c>
      <c r="B25" s="36" t="s">
        <v>33</v>
      </c>
      <c r="C25" s="37">
        <v>4</v>
      </c>
      <c r="D25" s="36">
        <v>23</v>
      </c>
      <c r="E25" s="37" t="s">
        <v>33</v>
      </c>
      <c r="F25" s="36" t="s">
        <v>124</v>
      </c>
      <c r="G25" s="38">
        <v>50.942</v>
      </c>
      <c r="H25" s="36"/>
    </row>
    <row r="26" spans="1:8">
      <c r="A26" s="36" t="s">
        <v>128</v>
      </c>
      <c r="B26" s="36" t="s">
        <v>129</v>
      </c>
      <c r="C26" s="37">
        <v>4</v>
      </c>
      <c r="D26" s="36">
        <v>24</v>
      </c>
      <c r="E26" s="37" t="s">
        <v>34</v>
      </c>
      <c r="F26" s="36" t="s">
        <v>124</v>
      </c>
      <c r="G26" s="38">
        <v>51.996000000000002</v>
      </c>
      <c r="H26" s="36"/>
    </row>
    <row r="27" spans="1:8">
      <c r="A27" s="36" t="s">
        <v>130</v>
      </c>
      <c r="B27" s="36" t="s">
        <v>131</v>
      </c>
      <c r="C27" s="37">
        <v>4</v>
      </c>
      <c r="D27" s="36">
        <v>25</v>
      </c>
      <c r="E27" s="37" t="s">
        <v>35</v>
      </c>
      <c r="F27" s="36" t="s">
        <v>124</v>
      </c>
      <c r="G27" s="38">
        <v>54.938000000000002</v>
      </c>
      <c r="H27" s="36"/>
    </row>
    <row r="28" spans="1:8">
      <c r="A28" s="36" t="s">
        <v>132</v>
      </c>
      <c r="B28" s="36" t="s">
        <v>133</v>
      </c>
      <c r="C28" s="37">
        <v>4</v>
      </c>
      <c r="D28" s="36">
        <v>26</v>
      </c>
      <c r="E28" s="37" t="s">
        <v>36</v>
      </c>
      <c r="F28" s="36" t="s">
        <v>124</v>
      </c>
      <c r="G28" s="38">
        <v>55.847000000000001</v>
      </c>
      <c r="H28" s="36"/>
    </row>
    <row r="29" spans="1:8">
      <c r="A29" s="36" t="s">
        <v>134</v>
      </c>
      <c r="B29" s="36" t="s">
        <v>135</v>
      </c>
      <c r="C29" s="37">
        <v>4</v>
      </c>
      <c r="D29" s="36">
        <v>27</v>
      </c>
      <c r="E29" s="37" t="s">
        <v>36</v>
      </c>
      <c r="F29" s="36" t="s">
        <v>124</v>
      </c>
      <c r="G29" s="38">
        <v>58.933</v>
      </c>
      <c r="H29" s="36"/>
    </row>
    <row r="30" spans="1:8">
      <c r="A30" s="36" t="s">
        <v>136</v>
      </c>
      <c r="B30" s="36" t="s">
        <v>137</v>
      </c>
      <c r="C30" s="37">
        <v>4</v>
      </c>
      <c r="D30" s="36">
        <v>28</v>
      </c>
      <c r="E30" s="37" t="s">
        <v>36</v>
      </c>
      <c r="F30" s="36" t="s">
        <v>124</v>
      </c>
      <c r="G30" s="38">
        <v>85.71</v>
      </c>
      <c r="H30" s="36"/>
    </row>
    <row r="31" spans="1:8">
      <c r="A31" s="36" t="s">
        <v>138</v>
      </c>
      <c r="B31" s="36" t="s">
        <v>139</v>
      </c>
      <c r="C31" s="37">
        <v>4</v>
      </c>
      <c r="D31" s="36">
        <v>29</v>
      </c>
      <c r="E31" s="37" t="s">
        <v>29</v>
      </c>
      <c r="F31" s="36" t="s">
        <v>124</v>
      </c>
      <c r="G31" s="38">
        <v>63.545999999999999</v>
      </c>
      <c r="H31" s="36"/>
    </row>
    <row r="32" spans="1:8">
      <c r="A32" s="36" t="s">
        <v>140</v>
      </c>
      <c r="B32" s="36" t="s">
        <v>141</v>
      </c>
      <c r="C32" s="37">
        <v>4</v>
      </c>
      <c r="D32" s="36">
        <v>30</v>
      </c>
      <c r="E32" s="37" t="s">
        <v>30</v>
      </c>
      <c r="F32" s="36" t="s">
        <v>124</v>
      </c>
      <c r="G32" s="38">
        <v>65.37</v>
      </c>
      <c r="H32" s="36"/>
    </row>
    <row r="33" spans="1:8">
      <c r="A33" s="33" t="s">
        <v>142</v>
      </c>
      <c r="B33" s="33" t="s">
        <v>143</v>
      </c>
      <c r="C33" s="34">
        <v>4</v>
      </c>
      <c r="D33" s="33">
        <v>31</v>
      </c>
      <c r="E33" s="34" t="s">
        <v>31</v>
      </c>
      <c r="F33" s="33" t="s">
        <v>108</v>
      </c>
      <c r="G33" s="35">
        <v>69.72</v>
      </c>
      <c r="H33" s="33"/>
    </row>
    <row r="34" spans="1:8">
      <c r="A34" s="33" t="s">
        <v>144</v>
      </c>
      <c r="B34" s="33" t="s">
        <v>145</v>
      </c>
      <c r="C34" s="34">
        <v>4</v>
      </c>
      <c r="D34" s="33">
        <v>32</v>
      </c>
      <c r="E34" s="34" t="s">
        <v>32</v>
      </c>
      <c r="F34" s="33" t="s">
        <v>90</v>
      </c>
      <c r="G34" s="35">
        <v>72.59</v>
      </c>
      <c r="H34" s="33"/>
    </row>
    <row r="35" spans="1:8">
      <c r="A35" s="33" t="s">
        <v>146</v>
      </c>
      <c r="B35" s="33" t="s">
        <v>147</v>
      </c>
      <c r="C35" s="34">
        <v>4</v>
      </c>
      <c r="D35" s="33">
        <v>33</v>
      </c>
      <c r="E35" s="34" t="s">
        <v>33</v>
      </c>
      <c r="F35" s="33" t="s">
        <v>90</v>
      </c>
      <c r="G35" s="35">
        <v>74.921599999999998</v>
      </c>
      <c r="H35" s="33"/>
    </row>
    <row r="36" spans="1:8">
      <c r="A36" s="33" t="s">
        <v>148</v>
      </c>
      <c r="B36" s="33" t="s">
        <v>149</v>
      </c>
      <c r="C36" s="34">
        <v>4</v>
      </c>
      <c r="D36" s="33">
        <v>34</v>
      </c>
      <c r="E36" s="34" t="s">
        <v>34</v>
      </c>
      <c r="F36" s="33" t="s">
        <v>78</v>
      </c>
      <c r="G36" s="35">
        <v>78.959999999999994</v>
      </c>
      <c r="H36" s="33"/>
    </row>
    <row r="37" spans="1:8">
      <c r="A37" s="33" t="s">
        <v>150</v>
      </c>
      <c r="B37" s="33" t="s">
        <v>151</v>
      </c>
      <c r="C37" s="34">
        <v>4</v>
      </c>
      <c r="D37" s="33">
        <v>35</v>
      </c>
      <c r="E37" s="34" t="s">
        <v>35</v>
      </c>
      <c r="F37" s="33" t="s">
        <v>99</v>
      </c>
      <c r="G37" s="35">
        <v>79.903999999999996</v>
      </c>
      <c r="H37" s="33"/>
    </row>
    <row r="38" spans="1:8">
      <c r="A38" s="33" t="s">
        <v>152</v>
      </c>
      <c r="B38" s="33" t="s">
        <v>153</v>
      </c>
      <c r="C38" s="34">
        <v>4</v>
      </c>
      <c r="D38" s="33">
        <v>36</v>
      </c>
      <c r="E38" s="34" t="s">
        <v>36</v>
      </c>
      <c r="F38" s="33" t="s">
        <v>81</v>
      </c>
      <c r="G38" s="35">
        <v>83.8</v>
      </c>
      <c r="H38" s="33"/>
    </row>
    <row r="39" spans="1:8">
      <c r="A39" s="30" t="s">
        <v>154</v>
      </c>
      <c r="B39" s="30" t="s">
        <v>155</v>
      </c>
      <c r="C39" s="31">
        <v>5</v>
      </c>
      <c r="D39" s="30">
        <v>37</v>
      </c>
      <c r="E39" s="31" t="s">
        <v>29</v>
      </c>
      <c r="F39" s="30" t="s">
        <v>84</v>
      </c>
      <c r="G39" s="32">
        <v>85.47</v>
      </c>
      <c r="H39" s="30"/>
    </row>
    <row r="40" spans="1:8">
      <c r="A40" s="30" t="s">
        <v>156</v>
      </c>
      <c r="B40" s="30" t="s">
        <v>157</v>
      </c>
      <c r="C40" s="31">
        <v>5</v>
      </c>
      <c r="D40" s="30">
        <v>38</v>
      </c>
      <c r="E40" s="31" t="s">
        <v>30</v>
      </c>
      <c r="F40" s="30" t="s">
        <v>87</v>
      </c>
      <c r="G40" s="32">
        <v>87.62</v>
      </c>
      <c r="H40" s="30"/>
    </row>
    <row r="41" spans="1:8">
      <c r="A41" s="36" t="s">
        <v>158</v>
      </c>
      <c r="B41" s="36" t="s">
        <v>159</v>
      </c>
      <c r="C41" s="37">
        <v>5</v>
      </c>
      <c r="D41" s="36">
        <v>39</v>
      </c>
      <c r="E41" s="37" t="s">
        <v>31</v>
      </c>
      <c r="F41" s="36" t="s">
        <v>124</v>
      </c>
      <c r="G41" s="38">
        <v>88.905000000000001</v>
      </c>
      <c r="H41" s="36"/>
    </row>
    <row r="42" spans="1:8">
      <c r="A42" s="36" t="s">
        <v>160</v>
      </c>
      <c r="B42" s="36" t="s">
        <v>161</v>
      </c>
      <c r="C42" s="37">
        <v>5</v>
      </c>
      <c r="D42" s="36">
        <v>40</v>
      </c>
      <c r="E42" s="37" t="s">
        <v>32</v>
      </c>
      <c r="F42" s="36" t="s">
        <v>124</v>
      </c>
      <c r="G42" s="38">
        <v>91.22</v>
      </c>
      <c r="H42" s="36"/>
    </row>
    <row r="43" spans="1:8">
      <c r="A43" s="36" t="s">
        <v>162</v>
      </c>
      <c r="B43" s="36" t="s">
        <v>163</v>
      </c>
      <c r="C43" s="37">
        <v>5</v>
      </c>
      <c r="D43" s="36">
        <v>41</v>
      </c>
      <c r="E43" s="37" t="s">
        <v>33</v>
      </c>
      <c r="F43" s="36" t="s">
        <v>124</v>
      </c>
      <c r="G43" s="38">
        <v>92.906599999999997</v>
      </c>
      <c r="H43" s="36"/>
    </row>
    <row r="44" spans="1:8">
      <c r="A44" s="36" t="s">
        <v>164</v>
      </c>
      <c r="B44" s="36" t="s">
        <v>165</v>
      </c>
      <c r="C44" s="37">
        <v>5</v>
      </c>
      <c r="D44" s="36">
        <v>42</v>
      </c>
      <c r="E44" s="37" t="s">
        <v>34</v>
      </c>
      <c r="F44" s="36" t="s">
        <v>124</v>
      </c>
      <c r="G44" s="38">
        <v>95.94</v>
      </c>
      <c r="H44" s="36"/>
    </row>
    <row r="45" spans="1:8">
      <c r="A45" s="36" t="s">
        <v>166</v>
      </c>
      <c r="B45" s="36" t="s">
        <v>167</v>
      </c>
      <c r="C45" s="37">
        <v>5</v>
      </c>
      <c r="D45" s="36">
        <v>43</v>
      </c>
      <c r="E45" s="37" t="s">
        <v>35</v>
      </c>
      <c r="F45" s="36" t="s">
        <v>124</v>
      </c>
      <c r="G45" s="38">
        <v>99</v>
      </c>
      <c r="H45" s="36"/>
    </row>
    <row r="46" spans="1:8">
      <c r="A46" s="36" t="s">
        <v>168</v>
      </c>
      <c r="B46" s="36" t="s">
        <v>169</v>
      </c>
      <c r="C46" s="37">
        <v>5</v>
      </c>
      <c r="D46" s="36">
        <v>44</v>
      </c>
      <c r="E46" s="37" t="s">
        <v>36</v>
      </c>
      <c r="F46" s="36" t="s">
        <v>124</v>
      </c>
      <c r="G46" s="38">
        <v>101.07</v>
      </c>
      <c r="H46" s="36"/>
    </row>
    <row r="47" spans="1:8">
      <c r="A47" s="36" t="s">
        <v>170</v>
      </c>
      <c r="B47" s="36" t="s">
        <v>171</v>
      </c>
      <c r="C47" s="37">
        <v>5</v>
      </c>
      <c r="D47" s="36">
        <v>45</v>
      </c>
      <c r="E47" s="37" t="s">
        <v>36</v>
      </c>
      <c r="F47" s="36" t="s">
        <v>124</v>
      </c>
      <c r="G47" s="38">
        <v>102.905</v>
      </c>
      <c r="H47" s="36"/>
    </row>
    <row r="48" spans="1:8">
      <c r="A48" s="36" t="s">
        <v>172</v>
      </c>
      <c r="B48" s="36" t="s">
        <v>173</v>
      </c>
      <c r="C48" s="37">
        <v>5</v>
      </c>
      <c r="D48" s="36">
        <v>46</v>
      </c>
      <c r="E48" s="37" t="s">
        <v>36</v>
      </c>
      <c r="F48" s="36" t="s">
        <v>124</v>
      </c>
      <c r="G48" s="38">
        <v>106.4</v>
      </c>
      <c r="H48" s="36"/>
    </row>
    <row r="49" spans="1:8">
      <c r="A49" s="36" t="s">
        <v>174</v>
      </c>
      <c r="B49" s="36" t="s">
        <v>175</v>
      </c>
      <c r="C49" s="37">
        <v>5</v>
      </c>
      <c r="D49" s="36">
        <v>47</v>
      </c>
      <c r="E49" s="37" t="s">
        <v>29</v>
      </c>
      <c r="F49" s="36" t="s">
        <v>124</v>
      </c>
      <c r="G49" s="38">
        <v>107.86799999999999</v>
      </c>
      <c r="H49" s="36"/>
    </row>
    <row r="50" spans="1:8">
      <c r="A50" s="36" t="s">
        <v>176</v>
      </c>
      <c r="B50" s="36" t="s">
        <v>177</v>
      </c>
      <c r="C50" s="37">
        <v>5</v>
      </c>
      <c r="D50" s="36">
        <v>48</v>
      </c>
      <c r="E50" s="37" t="s">
        <v>30</v>
      </c>
      <c r="F50" s="36" t="s">
        <v>124</v>
      </c>
      <c r="G50" s="38">
        <v>112.4</v>
      </c>
      <c r="H50" s="36"/>
    </row>
    <row r="51" spans="1:8">
      <c r="A51" s="33" t="s">
        <v>178</v>
      </c>
      <c r="B51" s="33" t="s">
        <v>179</v>
      </c>
      <c r="C51" s="34">
        <v>5</v>
      </c>
      <c r="D51" s="33">
        <v>49</v>
      </c>
      <c r="E51" s="34" t="s">
        <v>31</v>
      </c>
      <c r="F51" s="33" t="s">
        <v>108</v>
      </c>
      <c r="G51" s="35">
        <v>114.82</v>
      </c>
      <c r="H51" s="33"/>
    </row>
    <row r="52" spans="1:8">
      <c r="A52" s="33" t="s">
        <v>180</v>
      </c>
      <c r="B52" s="33" t="s">
        <v>181</v>
      </c>
      <c r="C52" s="34">
        <v>5</v>
      </c>
      <c r="D52" s="33">
        <v>50</v>
      </c>
      <c r="E52" s="34" t="s">
        <v>32</v>
      </c>
      <c r="F52" s="33" t="s">
        <v>108</v>
      </c>
      <c r="G52" s="35">
        <v>118.69</v>
      </c>
      <c r="H52" s="33"/>
    </row>
    <row r="53" spans="1:8">
      <c r="A53" s="33" t="s">
        <v>182</v>
      </c>
      <c r="B53" s="33" t="s">
        <v>183</v>
      </c>
      <c r="C53" s="34">
        <v>5</v>
      </c>
      <c r="D53" s="33">
        <v>51</v>
      </c>
      <c r="E53" s="34" t="s">
        <v>33</v>
      </c>
      <c r="F53" s="33" t="s">
        <v>90</v>
      </c>
      <c r="G53" s="35">
        <v>121.75</v>
      </c>
      <c r="H53" s="33"/>
    </row>
    <row r="54" spans="1:8">
      <c r="A54" s="33" t="s">
        <v>184</v>
      </c>
      <c r="B54" s="33" t="s">
        <v>185</v>
      </c>
      <c r="C54" s="34">
        <v>5</v>
      </c>
      <c r="D54" s="33">
        <v>52</v>
      </c>
      <c r="E54" s="34" t="s">
        <v>34</v>
      </c>
      <c r="F54" s="33" t="s">
        <v>90</v>
      </c>
      <c r="G54" s="35">
        <v>127.6</v>
      </c>
      <c r="H54" s="33"/>
    </row>
    <row r="55" spans="1:8">
      <c r="A55" s="33" t="s">
        <v>186</v>
      </c>
      <c r="B55" s="33" t="s">
        <v>29</v>
      </c>
      <c r="C55" s="34">
        <v>5</v>
      </c>
      <c r="D55" s="33">
        <v>53</v>
      </c>
      <c r="E55" s="34" t="s">
        <v>35</v>
      </c>
      <c r="F55" s="33" t="s">
        <v>99</v>
      </c>
      <c r="G55" s="35">
        <v>126.9044</v>
      </c>
      <c r="H55" s="33"/>
    </row>
    <row r="56" spans="1:8">
      <c r="A56" s="33" t="s">
        <v>187</v>
      </c>
      <c r="B56" s="33" t="s">
        <v>188</v>
      </c>
      <c r="C56" s="34">
        <v>5</v>
      </c>
      <c r="D56" s="33">
        <v>54</v>
      </c>
      <c r="E56" s="34" t="s">
        <v>36</v>
      </c>
      <c r="F56" s="33" t="s">
        <v>81</v>
      </c>
      <c r="G56" s="35">
        <v>131.30000000000001</v>
      </c>
      <c r="H56" s="33"/>
    </row>
    <row r="57" spans="1:8">
      <c r="A57" s="30" t="s">
        <v>189</v>
      </c>
      <c r="B57" s="30" t="s">
        <v>190</v>
      </c>
      <c r="C57" s="31">
        <v>6</v>
      </c>
      <c r="D57" s="30">
        <v>55</v>
      </c>
      <c r="E57" s="31" t="s">
        <v>29</v>
      </c>
      <c r="F57" s="30" t="s">
        <v>84</v>
      </c>
      <c r="G57" s="32">
        <v>132.905</v>
      </c>
      <c r="H57" s="30"/>
    </row>
    <row r="58" spans="1:8">
      <c r="A58" s="30" t="s">
        <v>191</v>
      </c>
      <c r="B58" s="30" t="s">
        <v>192</v>
      </c>
      <c r="C58" s="31">
        <v>6</v>
      </c>
      <c r="D58" s="30">
        <v>56</v>
      </c>
      <c r="E58" s="31" t="s">
        <v>30</v>
      </c>
      <c r="F58" s="30" t="s">
        <v>87</v>
      </c>
      <c r="G58" s="32">
        <v>137.34</v>
      </c>
      <c r="H58" s="30"/>
    </row>
    <row r="59" spans="1:8">
      <c r="A59" s="39" t="s">
        <v>193</v>
      </c>
      <c r="B59" s="39" t="s">
        <v>194</v>
      </c>
      <c r="C59" s="40">
        <v>6</v>
      </c>
      <c r="D59" s="39">
        <v>57</v>
      </c>
      <c r="E59" s="40" t="s">
        <v>31</v>
      </c>
      <c r="F59" s="39" t="s">
        <v>195</v>
      </c>
      <c r="G59" s="41">
        <v>138.91</v>
      </c>
      <c r="H59" s="39"/>
    </row>
    <row r="60" spans="1:8">
      <c r="A60" s="36" t="s">
        <v>196</v>
      </c>
      <c r="B60" s="36" t="s">
        <v>197</v>
      </c>
      <c r="C60" s="37">
        <v>6</v>
      </c>
      <c r="D60" s="36">
        <v>72</v>
      </c>
      <c r="E60" s="37" t="s">
        <v>32</v>
      </c>
      <c r="F60" s="36" t="s">
        <v>124</v>
      </c>
      <c r="G60" s="38">
        <v>178.49</v>
      </c>
      <c r="H60" s="36"/>
    </row>
    <row r="61" spans="1:8">
      <c r="A61" s="36" t="s">
        <v>198</v>
      </c>
      <c r="B61" s="36" t="s">
        <v>199</v>
      </c>
      <c r="C61" s="37">
        <v>6</v>
      </c>
      <c r="D61" s="36">
        <v>73</v>
      </c>
      <c r="E61" s="37" t="s">
        <v>33</v>
      </c>
      <c r="F61" s="36" t="s">
        <v>124</v>
      </c>
      <c r="G61" s="38">
        <v>180.94800000000001</v>
      </c>
      <c r="H61" s="36"/>
    </row>
    <row r="62" spans="1:8">
      <c r="A62" s="36" t="s">
        <v>200</v>
      </c>
      <c r="B62" s="36" t="s">
        <v>201</v>
      </c>
      <c r="C62" s="37">
        <v>6</v>
      </c>
      <c r="D62" s="36">
        <v>74</v>
      </c>
      <c r="E62" s="37" t="s">
        <v>34</v>
      </c>
      <c r="F62" s="36" t="s">
        <v>124</v>
      </c>
      <c r="G62" s="38">
        <v>183.85</v>
      </c>
      <c r="H62" s="36"/>
    </row>
    <row r="63" spans="1:8">
      <c r="A63" s="36" t="s">
        <v>202</v>
      </c>
      <c r="B63" s="36" t="s">
        <v>203</v>
      </c>
      <c r="C63" s="37">
        <v>6</v>
      </c>
      <c r="D63" s="36">
        <v>75</v>
      </c>
      <c r="E63" s="37" t="s">
        <v>35</v>
      </c>
      <c r="F63" s="36" t="s">
        <v>124</v>
      </c>
      <c r="G63" s="38">
        <v>186.2</v>
      </c>
      <c r="H63" s="36"/>
    </row>
    <row r="64" spans="1:8">
      <c r="A64" s="36" t="s">
        <v>204</v>
      </c>
      <c r="B64" s="36" t="s">
        <v>205</v>
      </c>
      <c r="C64" s="37">
        <v>6</v>
      </c>
      <c r="D64" s="36">
        <v>76</v>
      </c>
      <c r="E64" s="37" t="s">
        <v>36</v>
      </c>
      <c r="F64" s="36" t="s">
        <v>124</v>
      </c>
      <c r="G64" s="38">
        <v>190.2</v>
      </c>
      <c r="H64" s="36"/>
    </row>
    <row r="65" spans="1:8">
      <c r="A65" s="36" t="s">
        <v>206</v>
      </c>
      <c r="B65" s="36" t="s">
        <v>207</v>
      </c>
      <c r="C65" s="37">
        <v>6</v>
      </c>
      <c r="D65" s="36">
        <v>77</v>
      </c>
      <c r="E65" s="37" t="s">
        <v>36</v>
      </c>
      <c r="F65" s="36" t="s">
        <v>124</v>
      </c>
      <c r="G65" s="38">
        <v>192.2</v>
      </c>
      <c r="H65" s="36"/>
    </row>
    <row r="66" spans="1:8">
      <c r="A66" s="36" t="s">
        <v>208</v>
      </c>
      <c r="B66" s="36" t="s">
        <v>209</v>
      </c>
      <c r="C66" s="37">
        <v>6</v>
      </c>
      <c r="D66" s="36">
        <v>78</v>
      </c>
      <c r="E66" s="37" t="s">
        <v>36</v>
      </c>
      <c r="F66" s="36" t="s">
        <v>124</v>
      </c>
      <c r="G66" s="38">
        <v>195.09</v>
      </c>
      <c r="H66" s="36"/>
    </row>
    <row r="67" spans="1:8">
      <c r="A67" s="36" t="s">
        <v>210</v>
      </c>
      <c r="B67" s="36" t="s">
        <v>211</v>
      </c>
      <c r="C67" s="37">
        <v>6</v>
      </c>
      <c r="D67" s="36">
        <v>79</v>
      </c>
      <c r="E67" s="37" t="s">
        <v>29</v>
      </c>
      <c r="F67" s="36" t="s">
        <v>124</v>
      </c>
      <c r="G67" s="38">
        <v>196.96700000000001</v>
      </c>
      <c r="H67" s="36"/>
    </row>
    <row r="68" spans="1:8">
      <c r="A68" s="36" t="s">
        <v>212</v>
      </c>
      <c r="B68" s="36" t="s">
        <v>213</v>
      </c>
      <c r="C68" s="37">
        <v>6</v>
      </c>
      <c r="D68" s="36">
        <v>80</v>
      </c>
      <c r="E68" s="37" t="s">
        <v>30</v>
      </c>
      <c r="F68" s="36" t="s">
        <v>124</v>
      </c>
      <c r="G68" s="38">
        <v>200.59</v>
      </c>
      <c r="H68" s="36"/>
    </row>
    <row r="69" spans="1:8">
      <c r="A69" s="33" t="s">
        <v>214</v>
      </c>
      <c r="B69" s="33" t="s">
        <v>215</v>
      </c>
      <c r="C69" s="34">
        <v>6</v>
      </c>
      <c r="D69" s="33">
        <v>81</v>
      </c>
      <c r="E69" s="34" t="s">
        <v>31</v>
      </c>
      <c r="F69" s="33" t="s">
        <v>108</v>
      </c>
      <c r="G69" s="35">
        <v>204.37</v>
      </c>
      <c r="H69" s="33"/>
    </row>
    <row r="70" spans="1:8">
      <c r="A70" s="33" t="s">
        <v>216</v>
      </c>
      <c r="B70" s="33" t="s">
        <v>217</v>
      </c>
      <c r="C70" s="34">
        <v>6</v>
      </c>
      <c r="D70" s="33">
        <v>82</v>
      </c>
      <c r="E70" s="34" t="s">
        <v>32</v>
      </c>
      <c r="F70" s="33" t="s">
        <v>108</v>
      </c>
      <c r="G70" s="35">
        <v>207.19</v>
      </c>
      <c r="H70" s="33"/>
    </row>
    <row r="71" spans="1:8">
      <c r="A71" s="33" t="s">
        <v>218</v>
      </c>
      <c r="B71" s="33" t="s">
        <v>219</v>
      </c>
      <c r="C71" s="34">
        <v>6</v>
      </c>
      <c r="D71" s="33">
        <v>83</v>
      </c>
      <c r="E71" s="34" t="s">
        <v>33</v>
      </c>
      <c r="F71" s="33" t="s">
        <v>108</v>
      </c>
      <c r="G71" s="35">
        <v>208.98</v>
      </c>
      <c r="H71" s="33"/>
    </row>
    <row r="72" spans="1:8">
      <c r="A72" s="33" t="s">
        <v>220</v>
      </c>
      <c r="B72" s="33" t="s">
        <v>221</v>
      </c>
      <c r="C72" s="34">
        <v>6</v>
      </c>
      <c r="D72" s="33">
        <v>84</v>
      </c>
      <c r="E72" s="34" t="s">
        <v>34</v>
      </c>
      <c r="F72" s="33" t="s">
        <v>90</v>
      </c>
      <c r="G72" s="35" t="s">
        <v>222</v>
      </c>
      <c r="H72" s="33"/>
    </row>
    <row r="73" spans="1:8">
      <c r="A73" s="33" t="s">
        <v>223</v>
      </c>
      <c r="B73" s="33" t="s">
        <v>224</v>
      </c>
      <c r="C73" s="34">
        <v>6</v>
      </c>
      <c r="D73" s="33">
        <v>85</v>
      </c>
      <c r="E73" s="34" t="s">
        <v>35</v>
      </c>
      <c r="F73" s="33" t="s">
        <v>99</v>
      </c>
      <c r="G73" s="35" t="s">
        <v>225</v>
      </c>
      <c r="H73" s="33"/>
    </row>
    <row r="74" spans="1:8">
      <c r="A74" s="33" t="s">
        <v>226</v>
      </c>
      <c r="B74" s="33" t="s">
        <v>227</v>
      </c>
      <c r="C74" s="34">
        <v>6</v>
      </c>
      <c r="D74" s="33">
        <v>86</v>
      </c>
      <c r="E74" s="34" t="s">
        <v>36</v>
      </c>
      <c r="F74" s="33" t="s">
        <v>81</v>
      </c>
      <c r="G74" s="35" t="s">
        <v>228</v>
      </c>
      <c r="H74" s="33"/>
    </row>
    <row r="75" spans="1:8">
      <c r="A75" s="30" t="s">
        <v>229</v>
      </c>
      <c r="B75" s="30" t="s">
        <v>230</v>
      </c>
      <c r="C75" s="31">
        <v>7</v>
      </c>
      <c r="D75" s="30">
        <v>87</v>
      </c>
      <c r="E75" s="31" t="s">
        <v>29</v>
      </c>
      <c r="F75" s="30" t="s">
        <v>84</v>
      </c>
      <c r="G75" s="32" t="s">
        <v>231</v>
      </c>
      <c r="H75" s="30"/>
    </row>
    <row r="76" spans="1:8">
      <c r="A76" s="30" t="s">
        <v>232</v>
      </c>
      <c r="B76" s="30" t="s">
        <v>233</v>
      </c>
      <c r="C76" s="31">
        <v>7</v>
      </c>
      <c r="D76" s="30">
        <v>88</v>
      </c>
      <c r="E76" s="31" t="s">
        <v>30</v>
      </c>
      <c r="F76" s="30" t="s">
        <v>87</v>
      </c>
      <c r="G76" s="32" t="s">
        <v>234</v>
      </c>
      <c r="H76" s="30"/>
    </row>
    <row r="77" spans="1:8">
      <c r="A77" s="39" t="s">
        <v>235</v>
      </c>
      <c r="B77" s="39" t="s">
        <v>236</v>
      </c>
      <c r="C77" s="40">
        <v>7</v>
      </c>
      <c r="D77" s="39">
        <v>89</v>
      </c>
      <c r="E77" s="40" t="s">
        <v>31</v>
      </c>
      <c r="F77" s="39" t="s">
        <v>237</v>
      </c>
      <c r="G77" s="41" t="s">
        <v>238</v>
      </c>
      <c r="H77" s="39"/>
    </row>
    <row r="78" spans="1:8">
      <c r="A78" s="36" t="s">
        <v>239</v>
      </c>
      <c r="B78" s="36" t="s">
        <v>240</v>
      </c>
      <c r="C78" s="37">
        <v>7</v>
      </c>
      <c r="D78" s="36">
        <v>104</v>
      </c>
      <c r="E78" s="37" t="s">
        <v>32</v>
      </c>
      <c r="F78" s="36" t="s">
        <v>124</v>
      </c>
      <c r="G78" s="38" t="s">
        <v>241</v>
      </c>
      <c r="H78" s="36"/>
    </row>
    <row r="79" spans="1:8">
      <c r="A79" s="36" t="s">
        <v>242</v>
      </c>
      <c r="B79" s="36" t="s">
        <v>243</v>
      </c>
      <c r="C79" s="37">
        <v>7</v>
      </c>
      <c r="D79" s="36">
        <v>105</v>
      </c>
      <c r="E79" s="37" t="s">
        <v>33</v>
      </c>
      <c r="F79" s="36" t="s">
        <v>124</v>
      </c>
      <c r="G79" s="38" t="s">
        <v>244</v>
      </c>
      <c r="H79" s="36"/>
    </row>
    <row r="80" spans="1:8">
      <c r="A80" s="36" t="s">
        <v>245</v>
      </c>
      <c r="B80" s="36" t="s">
        <v>246</v>
      </c>
      <c r="C80" s="37">
        <v>7</v>
      </c>
      <c r="D80" s="36">
        <v>106</v>
      </c>
      <c r="E80" s="37" t="s">
        <v>34</v>
      </c>
      <c r="F80" s="36" t="s">
        <v>124</v>
      </c>
      <c r="G80" s="38" t="s">
        <v>247</v>
      </c>
      <c r="H80" s="36"/>
    </row>
    <row r="81" spans="1:8">
      <c r="A81" s="36" t="s">
        <v>248</v>
      </c>
      <c r="B81" s="36" t="s">
        <v>249</v>
      </c>
      <c r="C81" s="37">
        <v>7</v>
      </c>
      <c r="D81" s="36">
        <v>107</v>
      </c>
      <c r="E81" s="37" t="s">
        <v>35</v>
      </c>
      <c r="F81" s="36" t="s">
        <v>124</v>
      </c>
      <c r="G81" s="38" t="s">
        <v>244</v>
      </c>
      <c r="H81" s="36"/>
    </row>
    <row r="82" spans="1:8">
      <c r="A82" s="36" t="s">
        <v>250</v>
      </c>
      <c r="B82" s="36" t="s">
        <v>251</v>
      </c>
      <c r="C82" s="37">
        <v>7</v>
      </c>
      <c r="D82" s="36">
        <v>108</v>
      </c>
      <c r="E82" s="37" t="s">
        <v>36</v>
      </c>
      <c r="F82" s="36" t="s">
        <v>124</v>
      </c>
      <c r="G82" s="38" t="s">
        <v>252</v>
      </c>
      <c r="H82" s="36"/>
    </row>
    <row r="83" spans="1:8">
      <c r="A83" s="36" t="s">
        <v>253</v>
      </c>
      <c r="B83" s="36" t="s">
        <v>254</v>
      </c>
      <c r="C83" s="37">
        <v>7</v>
      </c>
      <c r="D83" s="36">
        <v>109</v>
      </c>
      <c r="E83" s="37" t="s">
        <v>36</v>
      </c>
      <c r="F83" s="36" t="s">
        <v>124</v>
      </c>
      <c r="G83" s="38" t="s">
        <v>255</v>
      </c>
      <c r="H83" s="36"/>
    </row>
    <row r="84" spans="1:8">
      <c r="A84" s="36" t="s">
        <v>256</v>
      </c>
      <c r="B84" s="36" t="s">
        <v>257</v>
      </c>
      <c r="C84" s="37">
        <v>7</v>
      </c>
      <c r="D84" s="36">
        <v>110</v>
      </c>
      <c r="E84" s="37" t="s">
        <v>36</v>
      </c>
      <c r="F84" s="36" t="s">
        <v>124</v>
      </c>
      <c r="G84" s="38" t="s">
        <v>258</v>
      </c>
      <c r="H84" s="36"/>
    </row>
    <row r="85" spans="1:8">
      <c r="A85" s="36" t="s">
        <v>259</v>
      </c>
      <c r="B85" s="36" t="s">
        <v>260</v>
      </c>
      <c r="C85" s="37">
        <v>7</v>
      </c>
      <c r="D85" s="36">
        <v>111</v>
      </c>
      <c r="E85" s="37" t="s">
        <v>29</v>
      </c>
      <c r="F85" s="36" t="s">
        <v>124</v>
      </c>
      <c r="G85" s="38" t="s">
        <v>261</v>
      </c>
      <c r="H85" s="36"/>
    </row>
    <row r="86" spans="1:8">
      <c r="A86" s="36" t="s">
        <v>262</v>
      </c>
      <c r="B86" s="36" t="s">
        <v>263</v>
      </c>
      <c r="C86" s="37">
        <v>7</v>
      </c>
      <c r="D86" s="36">
        <v>112</v>
      </c>
      <c r="E86" s="37" t="s">
        <v>30</v>
      </c>
      <c r="F86" s="36" t="s">
        <v>124</v>
      </c>
      <c r="G86" s="38" t="s">
        <v>264</v>
      </c>
      <c r="H86" s="36"/>
    </row>
    <row r="87" spans="1:8">
      <c r="A87" s="33" t="s">
        <v>265</v>
      </c>
      <c r="B87" s="33" t="s">
        <v>266</v>
      </c>
      <c r="C87" s="34">
        <v>7</v>
      </c>
      <c r="D87" s="33">
        <v>113</v>
      </c>
      <c r="E87" s="34" t="s">
        <v>31</v>
      </c>
      <c r="F87" s="33" t="s">
        <v>108</v>
      </c>
      <c r="G87" s="35" t="s">
        <v>267</v>
      </c>
      <c r="H87" s="33"/>
    </row>
    <row r="88" spans="1:8">
      <c r="A88" s="33" t="s">
        <v>268</v>
      </c>
      <c r="B88" s="33" t="s">
        <v>269</v>
      </c>
      <c r="C88" s="34">
        <v>7</v>
      </c>
      <c r="D88" s="33">
        <v>114</v>
      </c>
      <c r="E88" s="34" t="s">
        <v>32</v>
      </c>
      <c r="F88" s="33" t="s">
        <v>108</v>
      </c>
      <c r="G88" s="33"/>
      <c r="H88" s="33"/>
    </row>
    <row r="89" spans="1:8">
      <c r="A89" s="33" t="s">
        <v>270</v>
      </c>
      <c r="B89" s="33" t="s">
        <v>271</v>
      </c>
      <c r="C89" s="34">
        <v>7</v>
      </c>
      <c r="D89" s="33">
        <v>115</v>
      </c>
      <c r="E89" s="34" t="s">
        <v>33</v>
      </c>
      <c r="F89" s="33" t="s">
        <v>108</v>
      </c>
      <c r="G89" s="33"/>
      <c r="H89" s="33"/>
    </row>
    <row r="90" spans="1:8">
      <c r="A90" s="33" t="s">
        <v>272</v>
      </c>
      <c r="B90" s="33" t="s">
        <v>273</v>
      </c>
      <c r="C90" s="34">
        <v>7</v>
      </c>
      <c r="D90" s="33">
        <v>116</v>
      </c>
      <c r="E90" s="34" t="s">
        <v>34</v>
      </c>
      <c r="F90" s="33" t="s">
        <v>108</v>
      </c>
      <c r="G90" s="33"/>
      <c r="H90" s="33"/>
    </row>
    <row r="91" spans="1:8">
      <c r="A91" s="33" t="s">
        <v>274</v>
      </c>
      <c r="B91" s="33" t="s">
        <v>275</v>
      </c>
      <c r="C91" s="34">
        <v>7</v>
      </c>
      <c r="D91" s="33">
        <v>117</v>
      </c>
      <c r="E91" s="34" t="s">
        <v>35</v>
      </c>
      <c r="F91" s="33" t="s">
        <v>99</v>
      </c>
      <c r="G91" s="33"/>
      <c r="H91" s="33"/>
    </row>
    <row r="92" spans="1:8">
      <c r="A92" s="33" t="s">
        <v>276</v>
      </c>
      <c r="B92" s="33" t="s">
        <v>277</v>
      </c>
      <c r="C92" s="34">
        <v>7</v>
      </c>
      <c r="D92" s="33">
        <v>118</v>
      </c>
      <c r="E92" s="34" t="s">
        <v>36</v>
      </c>
      <c r="F92" s="33" t="s">
        <v>81</v>
      </c>
      <c r="G92" s="35" t="s">
        <v>278</v>
      </c>
      <c r="H92" s="33"/>
    </row>
    <row r="102" spans="7:7">
      <c r="G102"/>
    </row>
    <row r="103" spans="7:7">
      <c r="G103"/>
    </row>
    <row r="104" spans="7:7">
      <c r="G104"/>
    </row>
    <row r="105" spans="7:7">
      <c r="G105"/>
    </row>
    <row r="106" spans="7:7">
      <c r="G106"/>
    </row>
    <row r="107" spans="7:7">
      <c r="G107"/>
    </row>
    <row r="108" spans="7:7">
      <c r="G108"/>
    </row>
    <row r="109" spans="7:7">
      <c r="G109"/>
    </row>
    <row r="110" spans="7:7">
      <c r="G110"/>
    </row>
  </sheetData>
  <autoFilter ref="A1:H92" xr:uid="{00000000-0009-0000-0000-000002000000}"/>
  <sortState xmlns:xlrd2="http://schemas.microsoft.com/office/spreadsheetml/2017/richdata2" ref="A2:H21">
    <sortCondition descending="1" ref="C2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J17"/>
  <sheetViews>
    <sheetView workbookViewId="0">
      <selection activeCell="I27" sqref="I27"/>
    </sheetView>
  </sheetViews>
  <sheetFormatPr defaultColWidth="9.140625" defaultRowHeight="15"/>
  <cols>
    <col min="2" max="2" width="15.85546875" customWidth="1"/>
    <col min="3" max="3" width="5.42578125" customWidth="1"/>
    <col min="4" max="5" width="11.42578125" customWidth="1"/>
    <col min="6" max="6" width="12.42578125" customWidth="1"/>
    <col min="7" max="7" width="13.28515625" customWidth="1"/>
    <col min="8" max="8" width="19.28515625" customWidth="1"/>
    <col min="9" max="9" width="13.42578125" customWidth="1"/>
    <col min="10" max="10" width="12.7109375" customWidth="1"/>
  </cols>
  <sheetData>
    <row r="1" spans="1:10">
      <c r="A1" s="8" t="s">
        <v>279</v>
      </c>
      <c r="B1" s="9" t="s">
        <v>280</v>
      </c>
      <c r="C1" s="9" t="s">
        <v>281</v>
      </c>
      <c r="D1" s="9" t="s">
        <v>282</v>
      </c>
      <c r="E1" s="9" t="s">
        <v>283</v>
      </c>
      <c r="F1" s="9" t="s">
        <v>284</v>
      </c>
      <c r="G1" s="9" t="s">
        <v>285</v>
      </c>
      <c r="H1" s="9" t="s">
        <v>286</v>
      </c>
      <c r="I1" s="9" t="s">
        <v>287</v>
      </c>
      <c r="J1" s="22" t="s">
        <v>288</v>
      </c>
    </row>
    <row r="2" spans="1:10">
      <c r="A2" s="10">
        <v>1</v>
      </c>
      <c r="B2" s="11" t="s">
        <v>289</v>
      </c>
      <c r="C2" s="12">
        <v>30</v>
      </c>
      <c r="D2" s="13">
        <v>22</v>
      </c>
      <c r="E2" s="13">
        <v>6</v>
      </c>
      <c r="F2" s="13">
        <v>2</v>
      </c>
      <c r="G2" s="13">
        <v>75</v>
      </c>
      <c r="H2" s="13">
        <v>24</v>
      </c>
      <c r="I2" s="13">
        <f t="shared" ref="I2:I17" si="0">$G2-$H2</f>
        <v>51</v>
      </c>
      <c r="J2" s="23">
        <f t="shared" ref="J2:J17" si="1">$D2*3+$E2</f>
        <v>72</v>
      </c>
    </row>
    <row r="3" spans="1:10">
      <c r="A3" s="14">
        <v>2</v>
      </c>
      <c r="B3" s="15" t="s">
        <v>290</v>
      </c>
      <c r="C3" s="16">
        <v>30</v>
      </c>
      <c r="D3" s="17">
        <v>20</v>
      </c>
      <c r="E3" s="17">
        <v>5</v>
      </c>
      <c r="F3" s="17">
        <v>5</v>
      </c>
      <c r="G3" s="17">
        <v>62</v>
      </c>
      <c r="H3" s="17">
        <v>30</v>
      </c>
      <c r="I3" s="17">
        <f t="shared" si="0"/>
        <v>32</v>
      </c>
      <c r="J3" s="24">
        <f t="shared" si="1"/>
        <v>65</v>
      </c>
    </row>
    <row r="4" spans="1:10">
      <c r="A4" s="14">
        <v>3</v>
      </c>
      <c r="B4" s="15" t="s">
        <v>291</v>
      </c>
      <c r="C4" s="16">
        <v>30</v>
      </c>
      <c r="D4" s="17">
        <v>15</v>
      </c>
      <c r="E4" s="17">
        <v>10</v>
      </c>
      <c r="F4" s="17">
        <v>5</v>
      </c>
      <c r="G4" s="17">
        <v>56</v>
      </c>
      <c r="H4" s="17">
        <v>29</v>
      </c>
      <c r="I4" s="17">
        <f t="shared" si="0"/>
        <v>27</v>
      </c>
      <c r="J4" s="24">
        <f t="shared" si="1"/>
        <v>55</v>
      </c>
    </row>
    <row r="5" spans="1:10">
      <c r="A5" s="14">
        <v>4</v>
      </c>
      <c r="B5" s="15" t="s">
        <v>292</v>
      </c>
      <c r="C5" s="16">
        <v>30</v>
      </c>
      <c r="D5" s="17">
        <v>13</v>
      </c>
      <c r="E5" s="17">
        <v>11</v>
      </c>
      <c r="F5" s="17">
        <v>6</v>
      </c>
      <c r="G5" s="17">
        <v>38</v>
      </c>
      <c r="H5" s="17">
        <v>33</v>
      </c>
      <c r="I5" s="17">
        <f t="shared" si="0"/>
        <v>5</v>
      </c>
      <c r="J5" s="24">
        <f t="shared" si="1"/>
        <v>50</v>
      </c>
    </row>
    <row r="6" spans="1:10">
      <c r="A6" s="14">
        <v>5</v>
      </c>
      <c r="B6" s="15" t="s">
        <v>293</v>
      </c>
      <c r="C6" s="16">
        <v>30</v>
      </c>
      <c r="D6" s="17">
        <v>12</v>
      </c>
      <c r="E6" s="17">
        <v>8</v>
      </c>
      <c r="F6" s="17">
        <v>10</v>
      </c>
      <c r="G6" s="17">
        <v>44</v>
      </c>
      <c r="H6" s="17">
        <v>41</v>
      </c>
      <c r="I6" s="17">
        <f t="shared" si="0"/>
        <v>3</v>
      </c>
      <c r="J6" s="24">
        <f t="shared" si="1"/>
        <v>44</v>
      </c>
    </row>
    <row r="7" spans="1:10">
      <c r="A7" s="14">
        <v>6</v>
      </c>
      <c r="B7" s="15" t="s">
        <v>294</v>
      </c>
      <c r="C7" s="16">
        <v>30</v>
      </c>
      <c r="D7" s="17">
        <v>12</v>
      </c>
      <c r="E7" s="17">
        <v>7</v>
      </c>
      <c r="F7" s="17">
        <v>11</v>
      </c>
      <c r="G7" s="17">
        <v>54</v>
      </c>
      <c r="H7" s="17">
        <v>45</v>
      </c>
      <c r="I7" s="17">
        <f t="shared" si="0"/>
        <v>9</v>
      </c>
      <c r="J7" s="24">
        <f t="shared" si="1"/>
        <v>43</v>
      </c>
    </row>
    <row r="8" spans="1:10">
      <c r="A8" s="14">
        <v>7</v>
      </c>
      <c r="B8" s="15" t="s">
        <v>295</v>
      </c>
      <c r="C8" s="16">
        <v>30</v>
      </c>
      <c r="D8" s="17">
        <v>11</v>
      </c>
      <c r="E8" s="17">
        <v>8</v>
      </c>
      <c r="F8" s="17">
        <v>11</v>
      </c>
      <c r="G8" s="17">
        <v>32</v>
      </c>
      <c r="H8" s="17">
        <v>37</v>
      </c>
      <c r="I8" s="17">
        <f t="shared" si="0"/>
        <v>-5</v>
      </c>
      <c r="J8" s="24">
        <f t="shared" si="1"/>
        <v>41</v>
      </c>
    </row>
    <row r="9" spans="1:10">
      <c r="A9" s="14">
        <v>8</v>
      </c>
      <c r="B9" s="15" t="s">
        <v>296</v>
      </c>
      <c r="C9" s="16">
        <v>30</v>
      </c>
      <c r="D9" s="17">
        <v>9</v>
      </c>
      <c r="E9" s="17">
        <v>12</v>
      </c>
      <c r="F9" s="17">
        <v>9</v>
      </c>
      <c r="G9" s="17">
        <v>36</v>
      </c>
      <c r="H9" s="17">
        <v>34</v>
      </c>
      <c r="I9" s="17">
        <f t="shared" si="0"/>
        <v>2</v>
      </c>
      <c r="J9" s="24">
        <f t="shared" si="1"/>
        <v>39</v>
      </c>
    </row>
    <row r="10" spans="1:10">
      <c r="A10" s="14">
        <v>9</v>
      </c>
      <c r="B10" s="15" t="s">
        <v>297</v>
      </c>
      <c r="C10" s="16">
        <v>30</v>
      </c>
      <c r="D10" s="17">
        <v>10</v>
      </c>
      <c r="E10" s="17">
        <v>6</v>
      </c>
      <c r="F10" s="17">
        <v>14</v>
      </c>
      <c r="G10" s="17">
        <v>28</v>
      </c>
      <c r="H10" s="17">
        <v>34</v>
      </c>
      <c r="I10" s="17">
        <f>$G10-$H10</f>
        <v>-6</v>
      </c>
      <c r="J10" s="24">
        <f t="shared" si="1"/>
        <v>36</v>
      </c>
    </row>
    <row r="11" spans="1:10">
      <c r="A11" s="14">
        <v>10</v>
      </c>
      <c r="B11" s="15" t="s">
        <v>298</v>
      </c>
      <c r="C11" s="16">
        <v>30</v>
      </c>
      <c r="D11" s="17">
        <v>8</v>
      </c>
      <c r="E11" s="17">
        <v>10</v>
      </c>
      <c r="F11" s="17">
        <v>12</v>
      </c>
      <c r="G11" s="17">
        <v>30</v>
      </c>
      <c r="H11" s="17">
        <v>38</v>
      </c>
      <c r="I11" s="17">
        <f t="shared" si="0"/>
        <v>-8</v>
      </c>
      <c r="J11" s="24">
        <f t="shared" si="1"/>
        <v>34</v>
      </c>
    </row>
    <row r="12" spans="1:10">
      <c r="A12" s="14">
        <v>11</v>
      </c>
      <c r="B12" s="15" t="s">
        <v>299</v>
      </c>
      <c r="C12" s="16">
        <v>30</v>
      </c>
      <c r="D12" s="17">
        <v>9</v>
      </c>
      <c r="E12" s="17">
        <v>6</v>
      </c>
      <c r="F12" s="17">
        <v>15</v>
      </c>
      <c r="G12" s="17">
        <v>33</v>
      </c>
      <c r="H12" s="17">
        <v>48</v>
      </c>
      <c r="I12" s="17">
        <f t="shared" si="0"/>
        <v>-15</v>
      </c>
      <c r="J12" s="24">
        <f t="shared" si="1"/>
        <v>33</v>
      </c>
    </row>
    <row r="13" spans="1:10">
      <c r="A13" s="14">
        <v>12</v>
      </c>
      <c r="B13" s="15" t="s">
        <v>300</v>
      </c>
      <c r="C13" s="16">
        <v>30</v>
      </c>
      <c r="D13" s="17">
        <v>8</v>
      </c>
      <c r="E13" s="17">
        <v>7</v>
      </c>
      <c r="F13" s="17">
        <v>15</v>
      </c>
      <c r="G13" s="17">
        <v>39</v>
      </c>
      <c r="H13" s="17">
        <v>49</v>
      </c>
      <c r="I13" s="17">
        <f t="shared" si="0"/>
        <v>-10</v>
      </c>
      <c r="J13" s="24">
        <f t="shared" si="1"/>
        <v>31</v>
      </c>
    </row>
    <row r="14" spans="1:10">
      <c r="A14" s="14">
        <v>13</v>
      </c>
      <c r="B14" s="15" t="s">
        <v>301</v>
      </c>
      <c r="C14" s="16">
        <v>30</v>
      </c>
      <c r="D14" s="17">
        <v>7</v>
      </c>
      <c r="E14" s="17">
        <v>10</v>
      </c>
      <c r="F14" s="17">
        <v>13</v>
      </c>
      <c r="G14" s="17">
        <v>36</v>
      </c>
      <c r="H14" s="17">
        <v>51</v>
      </c>
      <c r="I14" s="17">
        <f t="shared" si="0"/>
        <v>-15</v>
      </c>
      <c r="J14" s="24">
        <f t="shared" si="1"/>
        <v>31</v>
      </c>
    </row>
    <row r="15" spans="1:10">
      <c r="A15" s="14">
        <v>14</v>
      </c>
      <c r="B15" s="15" t="s">
        <v>302</v>
      </c>
      <c r="C15" s="16">
        <v>30</v>
      </c>
      <c r="D15" s="17">
        <v>7</v>
      </c>
      <c r="E15" s="17">
        <v>8</v>
      </c>
      <c r="F15" s="17">
        <v>15</v>
      </c>
      <c r="G15" s="17">
        <v>30</v>
      </c>
      <c r="H15" s="17">
        <v>49</v>
      </c>
      <c r="I15" s="17">
        <f t="shared" si="0"/>
        <v>-19</v>
      </c>
      <c r="J15" s="24">
        <f t="shared" si="1"/>
        <v>29</v>
      </c>
    </row>
    <row r="16" spans="1:10">
      <c r="A16" s="14">
        <v>15</v>
      </c>
      <c r="B16" s="15" t="s">
        <v>303</v>
      </c>
      <c r="C16" s="16">
        <v>30</v>
      </c>
      <c r="D16" s="17">
        <v>5</v>
      </c>
      <c r="E16" s="17">
        <v>11</v>
      </c>
      <c r="F16" s="17">
        <v>14</v>
      </c>
      <c r="G16" s="17">
        <v>29</v>
      </c>
      <c r="H16" s="17">
        <v>55</v>
      </c>
      <c r="I16" s="17">
        <f t="shared" si="0"/>
        <v>-26</v>
      </c>
      <c r="J16" s="24">
        <f t="shared" si="1"/>
        <v>26</v>
      </c>
    </row>
    <row r="17" spans="1:10">
      <c r="A17" s="18">
        <v>16</v>
      </c>
      <c r="B17" s="19" t="s">
        <v>304</v>
      </c>
      <c r="C17" s="20">
        <v>30</v>
      </c>
      <c r="D17" s="21">
        <v>5</v>
      </c>
      <c r="E17" s="21">
        <v>9</v>
      </c>
      <c r="F17" s="21">
        <v>16</v>
      </c>
      <c r="G17" s="21">
        <v>21</v>
      </c>
      <c r="H17" s="21">
        <v>45</v>
      </c>
      <c r="I17" s="21">
        <f t="shared" si="0"/>
        <v>-24</v>
      </c>
      <c r="J17" s="25">
        <f t="shared" si="1"/>
        <v>24</v>
      </c>
    </row>
  </sheetData>
  <conditionalFormatting sqref="I2:I17">
    <cfRule type="top10" dxfId="1" priority="15" rank="3"/>
    <cfRule type="top10" dxfId="0" priority="14" bottom="1" rank="3"/>
  </conditionalFormatting>
  <conditionalFormatting sqref="J2:J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{EA0EF5D3-E358-4028-91BC-8844E70019F3}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0EF5D3-E358-4028-91BC-8844E7001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J2:J17</xm:sqref>
        </x14:conditionalFormatting>
        <x14:conditionalFormatting xmlns:xm="http://schemas.microsoft.com/office/excel/2006/main">
          <x14:cfRule type="iconSet" priority="8" id="{E1C1D70C-7364-4EAF-8B8C-172B110A4111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5" id="{092747D3-2DC7-40A9-9D5A-AA63470CF872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3" id="{67097595-5E16-4E9D-AFD6-125FE000FC72}">
            <x14:iconSet custom="1">
              <x14:cfvo type="percent">
                <xm:f>0</xm:f>
              </x14:cfvo>
              <x14:cfvo type="percent">
                <xm:f>100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30"/>
  <sheetViews>
    <sheetView tabSelected="1" workbookViewId="0">
      <selection activeCell="E24" sqref="E24"/>
    </sheetView>
  </sheetViews>
  <sheetFormatPr defaultColWidth="9.140625" defaultRowHeight="15"/>
  <cols>
    <col min="1" max="1" width="12.28515625"/>
    <col min="4" max="4" width="18.140625" customWidth="1"/>
    <col min="5" max="5" width="18.7109375" customWidth="1"/>
    <col min="12" max="12" width="17" customWidth="1"/>
    <col min="13" max="13" width="19.42578125" customWidth="1"/>
  </cols>
  <sheetData>
    <row r="1" spans="1:15">
      <c r="A1" s="1"/>
      <c r="B1" s="2"/>
      <c r="C1" s="2"/>
      <c r="D1" s="131" t="s">
        <v>305</v>
      </c>
      <c r="E1" s="131"/>
      <c r="F1" s="3" t="str">
        <f>_xlfn.IFS(MONTH(A3)=9,ROMAN(1),MONTH(A3)=10,ROMAN(1),MONTH(A3)=11,ROMAN(1),MONTH(A3)=12,ROMAN(2),MONTH(A3)=1,ROMAN(2),MONTH(A3)=2,ROMAN(2),MONTH(A3)=3,ROMAN(3),MONTH(A3)=4,ROMAN(3),MONTH(A3)=5,ROMAN(3))</f>
        <v>I</v>
      </c>
      <c r="G1" s="2"/>
      <c r="H1" s="2"/>
      <c r="I1" s="2"/>
      <c r="J1" s="2"/>
      <c r="K1" s="2"/>
      <c r="L1" s="131" t="s">
        <v>305</v>
      </c>
      <c r="M1" s="131"/>
      <c r="N1" s="3" t="str">
        <f>_xlfn.IFS(MONTH(I3)=9,ROMAN(1),MONTH(I3)=10,ROMAN(1),MONTH(I3)=11,ROMAN(1),MONTH(I3)=12,ROMAN(2),MONTH(I3)=1,ROMAN(2),MONTH(I3)=2,ROMAN(2),MONTH(I3)=3,ROMAN(3),MONTH(I3)=4,ROMAN(3),MONTH(I3)=5,ROMAN(3))</f>
        <v>I</v>
      </c>
      <c r="O1" s="2"/>
    </row>
    <row r="2" spans="1:15" ht="45.95" customHeight="1">
      <c r="A2" s="4" t="s">
        <v>306</v>
      </c>
      <c r="B2" s="4" t="s">
        <v>307</v>
      </c>
      <c r="C2" s="4" t="s">
        <v>308</v>
      </c>
      <c r="D2" s="4" t="s">
        <v>309</v>
      </c>
      <c r="E2" s="4" t="s">
        <v>310</v>
      </c>
      <c r="F2" s="4" t="s">
        <v>311</v>
      </c>
      <c r="G2" s="4" t="s">
        <v>21</v>
      </c>
      <c r="H2" s="5"/>
      <c r="I2" s="4" t="s">
        <v>306</v>
      </c>
      <c r="J2" s="4" t="s">
        <v>307</v>
      </c>
      <c r="K2" s="4" t="s">
        <v>308</v>
      </c>
      <c r="L2" s="4" t="s">
        <v>309</v>
      </c>
      <c r="M2" s="4" t="s">
        <v>310</v>
      </c>
      <c r="N2" s="4" t="s">
        <v>311</v>
      </c>
      <c r="O2" s="4" t="s">
        <v>21</v>
      </c>
    </row>
    <row r="3" spans="1:15">
      <c r="A3" s="132">
        <f>DATE(2019,9,2)</f>
        <v>43710</v>
      </c>
      <c r="B3" s="133" t="s">
        <v>312</v>
      </c>
      <c r="C3" s="6">
        <v>1</v>
      </c>
      <c r="D3" s="6" t="s">
        <v>313</v>
      </c>
      <c r="E3" s="6"/>
      <c r="F3" s="6"/>
      <c r="G3" s="6"/>
      <c r="H3" s="2"/>
      <c r="I3" s="132">
        <f>A17+1</f>
        <v>43713</v>
      </c>
      <c r="J3" s="134" t="s">
        <v>314</v>
      </c>
      <c r="K3" s="6">
        <v>1</v>
      </c>
      <c r="L3" s="6" t="s">
        <v>315</v>
      </c>
      <c r="M3" s="6"/>
      <c r="N3" s="6"/>
      <c r="O3" s="6"/>
    </row>
    <row r="4" spans="1:15">
      <c r="A4" s="132"/>
      <c r="B4" s="133"/>
      <c r="C4" s="6">
        <v>2</v>
      </c>
      <c r="D4" s="6" t="s">
        <v>316</v>
      </c>
      <c r="E4" s="6"/>
      <c r="F4" s="6"/>
      <c r="G4" s="6"/>
      <c r="H4" s="2"/>
      <c r="I4" s="132"/>
      <c r="J4" s="134"/>
      <c r="K4" s="6">
        <v>2</v>
      </c>
      <c r="L4" s="6" t="s">
        <v>316</v>
      </c>
      <c r="M4" s="6"/>
      <c r="N4" s="6"/>
      <c r="O4" s="6"/>
    </row>
    <row r="5" spans="1:15">
      <c r="A5" s="132"/>
      <c r="B5" s="133"/>
      <c r="C5" s="6">
        <v>3</v>
      </c>
      <c r="D5" s="6" t="s">
        <v>317</v>
      </c>
      <c r="E5" s="6"/>
      <c r="F5" s="6"/>
      <c r="G5" s="6"/>
      <c r="H5" s="2"/>
      <c r="I5" s="132"/>
      <c r="J5" s="134"/>
      <c r="K5" s="6">
        <v>3</v>
      </c>
      <c r="L5" s="6" t="s">
        <v>318</v>
      </c>
      <c r="M5" s="6"/>
      <c r="N5" s="6"/>
      <c r="O5" s="6"/>
    </row>
    <row r="6" spans="1:15">
      <c r="A6" s="132"/>
      <c r="B6" s="133"/>
      <c r="C6" s="6">
        <v>4</v>
      </c>
      <c r="D6" s="6" t="s">
        <v>319</v>
      </c>
      <c r="E6" s="6"/>
      <c r="F6" s="6"/>
      <c r="G6" s="6"/>
      <c r="H6" s="2"/>
      <c r="I6" s="132"/>
      <c r="J6" s="134"/>
      <c r="K6" s="6">
        <v>4</v>
      </c>
      <c r="L6" s="6" t="s">
        <v>319</v>
      </c>
      <c r="M6" s="6"/>
      <c r="N6" s="6"/>
      <c r="O6" s="6"/>
    </row>
    <row r="7" spans="1:15">
      <c r="A7" s="132"/>
      <c r="B7" s="133"/>
      <c r="C7" s="6">
        <v>5</v>
      </c>
      <c r="D7" s="6" t="s">
        <v>320</v>
      </c>
      <c r="E7" s="6"/>
      <c r="F7" s="6"/>
      <c r="G7" s="6"/>
      <c r="H7" s="2"/>
      <c r="I7" s="132"/>
      <c r="J7" s="134"/>
      <c r="K7" s="6">
        <v>5</v>
      </c>
      <c r="L7" s="6" t="s">
        <v>321</v>
      </c>
      <c r="M7" s="6"/>
      <c r="N7" s="6"/>
      <c r="O7" s="6"/>
    </row>
    <row r="8" spans="1:15">
      <c r="A8" s="132"/>
      <c r="B8" s="133"/>
      <c r="C8" s="6">
        <v>6</v>
      </c>
      <c r="D8" s="6" t="s">
        <v>322</v>
      </c>
      <c r="E8" s="6"/>
      <c r="F8" s="6"/>
      <c r="G8" s="6"/>
      <c r="H8" s="2"/>
      <c r="I8" s="132"/>
      <c r="J8" s="134"/>
      <c r="K8" s="6">
        <v>6</v>
      </c>
      <c r="L8" s="6" t="s">
        <v>323</v>
      </c>
      <c r="M8" s="6"/>
      <c r="N8" s="6"/>
      <c r="O8" s="6"/>
    </row>
    <row r="9" spans="1:1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>
      <c r="A10" s="132">
        <f>A3+1</f>
        <v>43711</v>
      </c>
      <c r="B10" s="133" t="s">
        <v>324</v>
      </c>
      <c r="C10" s="6">
        <v>1</v>
      </c>
      <c r="D10" s="6" t="s">
        <v>325</v>
      </c>
      <c r="E10" s="6"/>
      <c r="F10" s="6"/>
      <c r="G10" s="6"/>
      <c r="H10" s="2"/>
      <c r="I10" s="132">
        <f>I3+1</f>
        <v>43714</v>
      </c>
      <c r="J10" s="134" t="s">
        <v>326</v>
      </c>
      <c r="K10" s="6">
        <v>1</v>
      </c>
      <c r="L10" s="6" t="s">
        <v>313</v>
      </c>
      <c r="M10" s="6"/>
      <c r="N10" s="6"/>
      <c r="O10" s="6"/>
    </row>
    <row r="11" spans="1:15">
      <c r="A11" s="132"/>
      <c r="B11" s="133"/>
      <c r="C11" s="6">
        <v>2</v>
      </c>
      <c r="D11" s="6" t="s">
        <v>327</v>
      </c>
      <c r="E11" s="6"/>
      <c r="F11" s="6"/>
      <c r="G11" s="6"/>
      <c r="H11" s="2"/>
      <c r="I11" s="132"/>
      <c r="J11" s="134"/>
      <c r="K11" s="6">
        <v>2</v>
      </c>
      <c r="L11" s="6" t="s">
        <v>319</v>
      </c>
      <c r="M11" s="6"/>
      <c r="N11" s="6"/>
      <c r="O11" s="6"/>
    </row>
    <row r="12" spans="1:15">
      <c r="A12" s="132"/>
      <c r="B12" s="133"/>
      <c r="C12" s="6">
        <v>3</v>
      </c>
      <c r="D12" s="6" t="s">
        <v>315</v>
      </c>
      <c r="E12" s="6"/>
      <c r="F12" s="6"/>
      <c r="G12" s="6"/>
      <c r="H12" s="2"/>
      <c r="I12" s="132"/>
      <c r="J12" s="134"/>
      <c r="K12" s="6">
        <v>3</v>
      </c>
      <c r="L12" s="6" t="s">
        <v>322</v>
      </c>
      <c r="M12" s="6"/>
      <c r="N12" s="6"/>
      <c r="O12" s="6"/>
    </row>
    <row r="13" spans="1:15">
      <c r="A13" s="132"/>
      <c r="B13" s="133"/>
      <c r="C13" s="6">
        <v>4</v>
      </c>
      <c r="D13" s="6" t="s">
        <v>328</v>
      </c>
      <c r="E13" s="6"/>
      <c r="F13" s="6"/>
      <c r="G13" s="6"/>
      <c r="H13" s="2"/>
      <c r="I13" s="132"/>
      <c r="J13" s="134"/>
      <c r="K13" s="6">
        <v>4</v>
      </c>
      <c r="L13" s="6" t="s">
        <v>325</v>
      </c>
      <c r="M13" s="6"/>
      <c r="N13" s="6"/>
      <c r="O13" s="6"/>
    </row>
    <row r="14" spans="1:15">
      <c r="A14" s="132"/>
      <c r="B14" s="133"/>
      <c r="C14" s="6">
        <v>5</v>
      </c>
      <c r="D14" s="6" t="s">
        <v>318</v>
      </c>
      <c r="E14" s="6"/>
      <c r="F14" s="6"/>
      <c r="G14" s="6"/>
      <c r="H14" s="2"/>
      <c r="I14" s="132"/>
      <c r="J14" s="134"/>
      <c r="K14" s="6">
        <v>5</v>
      </c>
      <c r="L14" s="6" t="s">
        <v>320</v>
      </c>
      <c r="M14" s="6"/>
      <c r="N14" s="6"/>
      <c r="O14" s="6"/>
    </row>
    <row r="15" spans="1:15">
      <c r="A15" s="132"/>
      <c r="B15" s="133"/>
      <c r="C15" s="6">
        <v>6</v>
      </c>
      <c r="D15" s="6" t="s">
        <v>323</v>
      </c>
      <c r="E15" s="6"/>
      <c r="F15" s="6"/>
      <c r="G15" s="6"/>
      <c r="H15" s="2"/>
      <c r="I15" s="132"/>
      <c r="J15" s="134"/>
      <c r="K15" s="6">
        <v>6</v>
      </c>
      <c r="L15" s="6"/>
      <c r="M15" s="6"/>
      <c r="N15" s="6"/>
      <c r="O15" s="6"/>
    </row>
    <row r="16" spans="1:1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>
      <c r="A17" s="132">
        <f>A10+1</f>
        <v>43712</v>
      </c>
      <c r="B17" s="134" t="s">
        <v>329</v>
      </c>
      <c r="C17" s="6">
        <v>1</v>
      </c>
      <c r="D17" s="6" t="s">
        <v>319</v>
      </c>
      <c r="E17" s="6"/>
      <c r="F17" s="6"/>
      <c r="G17" s="6"/>
      <c r="H17" s="2"/>
      <c r="I17" s="132">
        <f>I10+1</f>
        <v>43715</v>
      </c>
      <c r="J17" s="134" t="s">
        <v>330</v>
      </c>
      <c r="K17" s="6">
        <v>1</v>
      </c>
      <c r="L17" s="6" t="s">
        <v>327</v>
      </c>
      <c r="M17" s="6"/>
      <c r="N17" s="6"/>
      <c r="O17" s="6"/>
    </row>
    <row r="18" spans="1:15">
      <c r="A18" s="132"/>
      <c r="B18" s="134"/>
      <c r="C18" s="6">
        <v>2</v>
      </c>
      <c r="D18" s="6" t="s">
        <v>320</v>
      </c>
      <c r="E18" s="6"/>
      <c r="F18" s="6"/>
      <c r="G18" s="6"/>
      <c r="H18" s="2"/>
      <c r="I18" s="132"/>
      <c r="J18" s="134"/>
      <c r="K18" s="6">
        <v>2</v>
      </c>
      <c r="L18" s="6" t="s">
        <v>328</v>
      </c>
      <c r="M18" s="6"/>
      <c r="N18" s="6"/>
      <c r="O18" s="6"/>
    </row>
    <row r="19" spans="1:15">
      <c r="A19" s="132"/>
      <c r="B19" s="134"/>
      <c r="C19" s="6">
        <v>3</v>
      </c>
      <c r="D19" s="6" t="s">
        <v>317</v>
      </c>
      <c r="E19" s="6"/>
      <c r="F19" s="6"/>
      <c r="G19" s="6"/>
      <c r="H19" s="2"/>
      <c r="I19" s="132"/>
      <c r="J19" s="134"/>
      <c r="K19" s="6">
        <v>3</v>
      </c>
      <c r="L19" s="6" t="s">
        <v>323</v>
      </c>
      <c r="M19" s="6"/>
      <c r="N19" s="6"/>
      <c r="O19" s="6"/>
    </row>
    <row r="20" spans="1:15">
      <c r="A20" s="132"/>
      <c r="B20" s="134"/>
      <c r="C20" s="6">
        <v>4</v>
      </c>
      <c r="D20" s="6" t="s">
        <v>316</v>
      </c>
      <c r="E20" s="6"/>
      <c r="F20" s="6"/>
      <c r="G20" s="6"/>
      <c r="H20" s="2"/>
      <c r="I20" s="132"/>
      <c r="J20" s="134"/>
      <c r="K20" s="6">
        <v>4</v>
      </c>
      <c r="L20" s="6"/>
      <c r="M20" s="6"/>
      <c r="N20" s="6"/>
      <c r="O20" s="6"/>
    </row>
    <row r="21" spans="1:15">
      <c r="A21" s="132"/>
      <c r="B21" s="134"/>
      <c r="C21" s="6">
        <v>5</v>
      </c>
      <c r="D21" s="6" t="s">
        <v>331</v>
      </c>
      <c r="E21" s="6"/>
      <c r="F21" s="6"/>
      <c r="G21" s="6"/>
      <c r="H21" s="2"/>
      <c r="I21" s="132"/>
      <c r="J21" s="134"/>
      <c r="K21" s="6">
        <v>5</v>
      </c>
      <c r="L21" s="6"/>
      <c r="M21" s="6"/>
      <c r="N21" s="6"/>
      <c r="O21" s="6"/>
    </row>
    <row r="22" spans="1:15">
      <c r="A22" s="132"/>
      <c r="B22" s="134"/>
      <c r="C22" s="6">
        <v>6</v>
      </c>
      <c r="D22" s="6"/>
      <c r="E22" s="6"/>
      <c r="F22" s="6"/>
      <c r="G22" s="6"/>
      <c r="H22" s="2"/>
      <c r="I22" s="132"/>
      <c r="J22" s="134"/>
      <c r="K22" s="6">
        <v>6</v>
      </c>
      <c r="L22" s="6"/>
      <c r="M22" s="6"/>
      <c r="N22" s="6"/>
      <c r="O22" s="6"/>
    </row>
    <row r="29" spans="1:15">
      <c r="A29" s="7"/>
    </row>
    <row r="30" spans="1:15">
      <c r="A30" s="1"/>
    </row>
  </sheetData>
  <mergeCells count="14">
    <mergeCell ref="D1:E1"/>
    <mergeCell ref="L1:M1"/>
    <mergeCell ref="A3:A8"/>
    <mergeCell ref="A10:A15"/>
    <mergeCell ref="A17:A22"/>
    <mergeCell ref="B3:B8"/>
    <mergeCell ref="B10:B15"/>
    <mergeCell ref="B17:B22"/>
    <mergeCell ref="I3:I8"/>
    <mergeCell ref="I10:I15"/>
    <mergeCell ref="I17:I22"/>
    <mergeCell ref="J3:J8"/>
    <mergeCell ref="J10:J15"/>
    <mergeCell ref="J17:J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Формула А3</vt:lpstr>
      <vt:lpstr>Отчёт-колонтитул B1</vt:lpstr>
      <vt:lpstr>Фильтр D1</vt:lpstr>
      <vt:lpstr>Год Турнира E(1999)</vt:lpstr>
      <vt:lpstr>Школьный дневник G1(Неделя 1)</vt:lpstr>
      <vt:lpstr>'Фильтр D1'!Критерии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</dc:creator>
  <cp:lastModifiedBy>Egor</cp:lastModifiedBy>
  <dcterms:created xsi:type="dcterms:W3CDTF">2019-11-05T19:00:00Z</dcterms:created>
  <dcterms:modified xsi:type="dcterms:W3CDTF">2019-12-23T23:20:03Z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1049-11.2.0.8991</vt:lpwstr>
  </property>
</Properties>
</file>